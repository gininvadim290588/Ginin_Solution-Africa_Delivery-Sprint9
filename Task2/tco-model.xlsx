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e4178aaae42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64c655e94a41407b"/>
    <x:sheet xmlns:r="http://schemas.openxmlformats.org/officeDocument/2006/relationships" name="Допущения" sheetId="2" r:id="Rd036d04e5d0149f3"/>
    <x:sheet xmlns:r="http://schemas.openxmlformats.org/officeDocument/2006/relationships" name="TCO" sheetId="3" r:id="Rbb15ca5cbf05485a"/>
    <x:sheet xmlns:r="http://schemas.openxmlformats.org/officeDocument/2006/relationships" name="B-SOA" sheetId="4" r:id="Rbd7d6b71dc4a4bc8"/>
    <x:sheet xmlns:r="http://schemas.openxmlformats.org/officeDocument/2006/relationships" name="C-CTO" sheetId="5" r:id="R87cfe0bf3fc84370"/>
    <x:sheet xmlns:r="http://schemas.openxmlformats.org/officeDocument/2006/relationships" name="Контроль" sheetId="6" r:id="R7013ff082c734905"/>
  </x:sheets>
</x:workbook>
</file>

<file path=xl/sharedStrings.xml><?xml version="1.0" encoding="utf-8"?>
<x:sst xmlns:x="http://schemas.openxmlformats.org/spreadsheetml/2006/main">
  <x:si>
    <x:t xml:space="preserve">Модель TCO (Total Cost of Ownership) — кейс «Africa Delivery», горизонт 5 лет</x:t>
  </x:si>
  <x:si>
    <x:t xml:space="preserve">Зачем этот файл</x:t>
  </x:si>
  <x:si>
    <x:t xml:space="preserve">Задача</x:t>
  </x:si>
  <x:si>
    <x:t xml:space="preserve">Оценить полную стоимость владения выбранным архитектурным вариантом на 5 лет и использовать цифры как аргумент в ADR №1 («Выбор архитектурного стиля»).</x:t>
  </x:si>
  <x:si>
    <x:t xml:space="preserve">Как использовать</x:t>
  </x:si>
  <x:si>
    <x:t xml:space="preserve">Заполни один и тот же шаблон для каждого рассматриваемого варианта (например: модульный монолит / SOA / микросервисы) — сравнивать нужно итоги, а не ощущения.</x:t>
  </x:si>
  <x:si>
    <x:t xml:space="preserve">Цветовая легенда</x:t>
  </x:si>
  <x:si>
    <x:t xml:space="preserve">Синий текст на жёлтом фоне</x:t>
  </x:si>
  <x:si>
    <x:t xml:space="preserve">Ячейки для заполнения. Только их и редактируем.</x:t>
  </x:si>
  <x:si>
    <x:t xml:space="preserve">Чёрный текст</x:t>
  </x:si>
  <x:si>
    <x:t xml:space="preserve">Формулы. Не трогаем — пересчитаются сами.</x:t>
  </x:si>
  <x:si>
    <x:t xml:space="preserve">Зелёный текст</x:t>
  </x:si>
  <x:si>
    <x:t xml:space="preserve">Ссылка на лист «Допущения».</x:t>
  </x:si>
  <x:si>
    <x:t xml:space="preserve">Порядок работы</x:t>
  </x:si>
  <x:si>
    <x:t xml:space="preserve">Шаг 1</x:t>
  </x:si>
  <x:si>
    <x:t xml:space="preserve">Лист «Допущения» → блок 1: вбить драйверы бизнеса по годам (активные пользователи, число заказов, средний чек). Из них считается GMV.</x:t>
  </x:si>
  <x:si>
    <x:t xml:space="preserve">Шаг 2</x:t>
  </x:si>
  <x:si>
    <x:t xml:space="preserve">Лист «Допущения» → блок 2: финансовые допущения (инфляция, рост ФОТ, ставка дисконтирования, резерв, целевой SLO).</x:t>
  </x:si>
  <x:si>
    <x:t xml:space="preserve">Шаг 3</x:t>
  </x:si>
  <x:si>
    <x:t xml:space="preserve">Лист «TCO» → в колонке «База, $/год (Год 1)» указать затраты первого года по каждой статье. Лишние статьи оставить пустыми, свои — дописать в свободные строки.</x:t>
  </x:si>
  <x:si>
    <x:t xml:space="preserve">Шаг 4</x:t>
  </x:si>
  <x:si>
    <x:t xml:space="preserve">Лист «TCO» → в колонке «Драйвер роста» выбрать из выпадающего списка, от чего растёт статья: фикс / инфляция / ФОТ / пользователи / заказы / GMV. Годы 2–5 посчитаются сами.</x:t>
  </x:si>
  <x:si>
    <x:t xml:space="preserve">Что важно не забыть в этом кейсе</x:t>
  </x:si>
  <x:si>
    <x:t xml:space="preserve">Транзакционные расходы</x:t>
  </x:si>
  <x:si>
    <x:t xml:space="preserve">Комиссии M-Pesa / Flutterwave / Paystack, SMS и WhatsApp растут с GMV и числом заказов и на горизонте 5 лет обычно обгоняют инфраструктуру. Не забудь их — это типичная ошибка.</x:t>
  </x:si>
  <x:si>
    <x:t xml:space="preserve">Допущения модели TCO — Africa Delivery</x:t>
  </x:si>
  <x:si>
    <x:t xml:space="preserve">Заполняются только ячейки с жёлтой заливкой. Все числа ниже — пример, заменить своими.</x:t>
  </x:si>
  <x:si>
    <x:t xml:space="preserve">1. Драйверы бизнеса — заполнить</x:t>
  </x:si>
  <x:si>
    <x:t xml:space="preserve">Показатель</x:t>
  </x:si>
  <x:si>
    <x:t xml:space="preserve">Год 1</x:t>
  </x:si>
  <x:si>
    <x:t xml:space="preserve">Год 2</x:t>
  </x:si>
  <x:si>
    <x:t xml:space="preserve">Год 3</x:t>
  </x:si>
  <x:si>
    <x:t xml:space="preserve">Год 4</x:t>
  </x:si>
  <x:si>
    <x:t xml:space="preserve">Год 5</x:t>
  </x:si>
  <x:si>
    <x:t xml:space="preserve">Комментарий / источник</x:t>
  </x:si>
  <x:si>
    <x:t xml:space="preserve">Активные пользователи (на конец года)</x:t>
  </x:si>
  <x:si>
    <x:t xml:space="preserve">Число заказов в год</x:t>
  </x:si>
  <x:si>
    <x:t xml:space="preserve">Средний чек (AOV), $</x:t>
  </x:si>
  <x:si>
    <x:t xml:space="preserve">GMV, $ в год (расчёт)</x:t>
  </x:si>
  <x:si>
    <x:t xml:space="preserve">Расчёт: заказы × средний чек</x:t>
  </x:si>
  <x:si>
    <x:t xml:space="preserve">2. Финансовые допущения — заполнить</x:t>
  </x:si>
  <x:si>
    <x:t xml:space="preserve">Параметр</x:t>
  </x:si>
  <x:si>
    <x:t xml:space="preserve">Значение</x:t>
  </x:si>
  <x:si>
    <x:t xml:space="preserve">Инфляция затрат, % в год</x:t>
  </x:si>
  <x:si>
    <x:t xml:space="preserve">Применяется к статьям с драйвером «инфляция»</x:t>
  </x:si>
  <x:si>
    <x:t xml:space="preserve">Рост ФОТ, % в год</x:t>
  </x:si>
  <x:si>
    <x:t xml:space="preserve">Ставка дисконтирования, % в год</x:t>
  </x:si>
  <x:si>
    <x:t xml:space="preserve">Для расчёта NPV затрат. Стартап, высокий риск</x:t>
  </x:si>
  <x:si>
    <x:t xml:space="preserve">Резерв на непредвиденное (contingency), %</x:t>
  </x:si>
  <x:si>
    <x:t xml:space="preserve">Надбавка к прямым затратам</x:t>
  </x:si>
  <x:si>
    <x:t xml:space="preserve">Бюджет CFO на облако, $/мес</x:t>
  </x:si>
  <x:si>
    <x:t xml:space="preserve">Стоимость минуты простоя, $</x:t>
  </x:si>
  <x:si>
    <x:t xml:space="preserve">Целевой SLO (доступность), %</x:t>
  </x:si>
  <x:si>
    <x:t xml:space="preserve">Mission critical: 99,99% = 52,6 мин/год</x:t>
  </x:si>
  <x:si>
    <x:t xml:space="preserve">Учитывать стоимость простоя в TCO (1 — да, 0 — нет)</x:t>
  </x:si>
  <x:si>
    <x:t xml:space="preserve">3. Индексы роста — расчёт, не редактировать</x:t>
  </x:si>
  <x:si>
    <x:t xml:space="preserve">Драйвер</x:t>
  </x:si>
  <x:si>
    <x:t xml:space="preserve">Как считается</x:t>
  </x:si>
  <x:si>
    <x:t xml:space="preserve">фикс</x:t>
  </x:si>
  <x:si>
    <x:t xml:space="preserve">Затраты не меняются по годам</x:t>
  </x:si>
  <x:si>
    <x:t xml:space="preserve">инфляция</x:t>
  </x:si>
  <x:si>
    <x:t xml:space="preserve">Год N = Год N-1 × (1 + инфляция)</x:t>
  </x:si>
  <x:si>
    <x:t xml:space="preserve">ФОТ</x:t>
  </x:si>
  <x:si>
    <x:t xml:space="preserve">Год N = Год N-1 × (1 + рост ФОТ)</x:t>
  </x:si>
  <x:si>
    <x:t xml:space="preserve">пользователи</x:t>
  </x:si>
  <x:si>
    <x:t xml:space="preserve">Пропорционально числу активных пользователей</x:t>
  </x:si>
  <x:si>
    <x:t xml:space="preserve">заказы</x:t>
  </x:si>
  <x:si>
    <x:t xml:space="preserve">Пропорционально числу заказов</x:t>
  </x:si>
  <x:si>
    <x:t xml:space="preserve">GMV</x:t>
  </x:si>
  <x:si>
    <x:t xml:space="preserve">Пропорционально обороту</x:t>
  </x:si>
  <x:si>
    <x:t xml:space="preserve">Статья затрат</x:t>
  </x:si>
  <x:si>
    <x:t xml:space="preserve">Драйвер роста</x:t>
  </x:si>
  <x:si>
    <x:t xml:space="preserve">База, $/год (Год 1)</x:t>
  </x:si>
  <x:si>
    <x:t xml:space="preserve">Итого 5 лет</x:t>
  </x:si>
  <x:si>
    <x:t xml:space="preserve">Доля</x:t>
  </x:si>
  <x:si>
    <x:t xml:space="preserve">БЛОК 1. Облачная инфраструктура (OpEx)</x:t>
  </x:si>
  <x:si>
    <x:t xml:space="preserve">Compute: ноды / контейнеры / serverless</x:t>
  </x:si>
  <x:si>
    <x:t xml:space="preserve">Хранилище объектов и резервные копии</x:t>
  </x:si>
  <x:si>
    <x:t xml:space="preserve">CDN и исходящий трафик</x:t>
  </x:si>
  <x:si>
    <x:t xml:space="preserve">Очереди / стриминг (Kafka, SQS)</x:t>
  </x:si>
  <x:si>
    <x:t xml:space="preserve">Резервный регион / DR</x:t>
  </x:si>
  <x:si>
    <x:t xml:space="preserve">Своя статья</x:t>
  </x:si>
  <x:si>
    <x:t xml:space="preserve">Итого по блоку</x:t>
  </x:si>
  <x:si>
    <x:t xml:space="preserve">БЛОК 2. Лицензии, SaaS и инструменты</x:t>
  </x:si>
  <x:si>
    <x:t xml:space="preserve">Observability (метрики, логи, трейсинг)</x:t>
  </x:si>
  <x:si>
    <x:t xml:space="preserve">CI/CD, репозиторий, артефакты</x:t>
  </x:si>
  <x:si>
    <x:t xml:space="preserve">GitHub / GitLab, тарифы на команду</x:t>
  </x:si>
  <x:si>
    <x:t xml:space="preserve">Безопасность: WAF, секреты, антифрод</x:t>
  </x:si>
  <x:si>
    <x:t xml:space="preserve">Канал для продавцов без личного кабинета</x:t>
  </x:si>
  <x:si>
    <x:t xml:space="preserve">Прочее ПО и подписки</x:t>
  </x:si>
  <x:si>
    <x:t xml:space="preserve">Таск-трекер, дизайн, аналитика</x:t>
  </x:si>
  <x:si>
    <x:t xml:space="preserve">БЛОК 3. Транзакционные расходы (Buy / Partner)</x:t>
  </x:si>
  <x:si>
    <x:t xml:space="preserve">Комиссии платёжных провайдеров</x:t>
  </x:si>
  <x:si>
    <x:t xml:space="preserve">SMS-уведомления</x:t>
  </x:si>
  <x:si>
    <x:t xml:space="preserve">БЛОК 4. Команда (ФОТ)</x:t>
  </x:si>
  <x:si>
    <x:t xml:space="preserve">Разработка (FTE × годовая ставка)</x:t>
  </x:si>
  <x:si>
    <x:t xml:space="preserve">DevOps / SRE</x:t>
  </x:si>
  <x:si>
    <x:t xml:space="preserve">Поддержка и дежурства 24/7</x:t>
  </x:si>
  <x:si>
    <x:t xml:space="preserve">Архитектура и менеджмент</x:t>
  </x:si>
  <x:si>
    <x:t xml:space="preserve">БЛОК 5. Разовые затраты и комплаенс</x:t>
  </x:si>
  <x:si>
    <x:t xml:space="preserve">Юридический и комплаенс-аудит (NDPR, POPIA, KICA)</x:t>
  </x:si>
  <x:si>
    <x:t xml:space="preserve">Пентест и аудит безопасности</x:t>
  </x:si>
  <x:si>
    <x:t xml:space="preserve">Ежегодно, если mission critical</x:t>
  </x:si>
  <x:si>
    <x:t xml:space="preserve">Обучение команды и найм</x:t>
  </x:si>
  <x:si>
    <x:t xml:space="preserve">Дефицит локальных ИТ-специалистов</x:t>
  </x:si>
  <x:si>
    <x:t xml:space="preserve">Резерв на непредвиденное (contingency)</x:t>
  </x:si>
  <x:si>
    <x:t xml:space="preserve">Расчёт: сумма блоков 1–5 × ставка резерва с листа «Допущения»</x:t>
  </x:si>
  <x:si>
    <x:t xml:space="preserve">ИТОГО прямые затраты (TCO без учёта простоев)</x:t>
  </x:si>
  <x:si>
    <x:t xml:space="preserve">БЛОК 6. Стоимость недоступности (риск)</x:t>
  </x:si>
  <x:si>
    <x:t xml:space="preserve">ИТОГО TCO с учётом стоимости простоя</x:t>
  </x:si>
  <x:si>
    <x:t xml:space="preserve">Коэффициент дисконтирования</x:t>
  </x:si>
  <x:si>
    <x:t xml:space="preserve">Дисконтированный TCO (NPV затрат)</x:t>
  </x:si>
  <x:si>
    <x:t xml:space="preserve">Ключевые метрики</x:t>
  </x:si>
  <x:si>
    <x:t xml:space="preserve">TCO за 5 лет, прямые затраты</x:t>
  </x:si>
  <x:si>
    <x:t xml:space="preserve">Основная цифра для сравнения вариантов в ADR</x:t>
  </x:si>
  <x:si>
    <x:t xml:space="preserve">TCO за 5 лет с учётом простоя</x:t>
  </x:si>
  <x:si>
    <x:t xml:space="preserve">Показывает цену недоступности для mission critical</x:t>
  </x:si>
  <x:si>
    <x:t xml:space="preserve">NPV затрат за 5 лет</x:t>
  </x:si>
  <x:si>
    <x:t xml:space="preserve">Средние затраты в год</x:t>
  </x:si>
  <x:si>
    <x:t xml:space="preserve">Ориентир для планирования бюджета</x:t>
  </x:si>
  <x:si>
    <x:t xml:space="preserve">Облако, $/мес в Год 1</x:t>
  </x:si>
  <x:si>
    <x:t xml:space="preserve">Проверка бюджета CFO на Год 1</x:t>
  </x:si>
  <x:si>
    <x:t xml:space="preserve">TCO на 1 заказ за 5 лет</x:t>
  </x:si>
  <x:si>
    <x:t xml:space="preserve">TCO на 1 активного пользователя (Год 5)</x:t>
  </x:si>
  <x:si>
    <x:t xml:space="preserve">Проверка масштабируемости модели</x:t>
  </x:si>
  <x:si>
    <x:t xml:space="preserve">Затраты ИТ как доля GMV за 5 лет</x:t>
  </x:si>
  <x:si>
    <x:t xml:space="preserve">Здоровый маркетплейс — единицы процентов</x:t>
  </x:si>
  <x:si>
    <x:t xml:space="preserve">Доля облачной инфраструктуры в TCO</x:t>
  </x:si>
  <x:si>
    <x:t xml:space="preserve">Обычно меньше, чем ожидают студенты</x:t>
  </x:si>
  <x:si>
    <x:t xml:space="preserve">Доля транзакционных расходов в TCO</x:t>
  </x:si>
  <x:si>
    <x:t xml:space="preserve">Растёт быстрее всего вместе с GMV</x:t>
  </x:si>
  <x:si>
    <x:t xml:space="preserve">Доля команды (ФОТ) в TCO</x:t>
  </x:si>
  <x:si>
    <x:t xml:space="preserve">Как правило, крупнейшая статья</x:t>
  </x:si>
  <x:si>
    <x:t xml:space="preserve">Вывод для ADR (заполнить текстом): какой вариант дешевле, за счёт чего, и какие допущения сильнее всего влияют на результат?</x:t>
  </x:si>
</x:sst>
</file>

<file path=xl/styles.xml><?xml version="1.0" encoding="utf-8"?>
<x:styleSheet xmlns:x="http://schemas.openxmlformats.org/spreadsheetml/2006/main">
  <x:numFmts count="11">
    <x:numFmt numFmtId="164" formatCode="\$#,##0.00;&quot;($&quot;#,##0.00\);\-"/>
    <x:numFmt numFmtId="165" formatCode="\$#,##0;&quot;($&quot;#,##0\);\-"/>
    <x:numFmt numFmtId="166" formatCode="0.0%"/>
    <x:numFmt numFmtId="167" formatCode="0.000%"/>
    <x:numFmt numFmtId="168" formatCode="0.000"/>
    <x:numFmt numFmtId="200" formatCode="$0.00;($0.00);&quot;—&quot;"/>
    <x:numFmt numFmtId="201" formatCode="$#,##0;($#,##0);&quot;—&quot;"/>
    <x:numFmt numFmtId="202" formatCode="0"/>
    <x:numFmt numFmtId="203" formatCode="0.0"/>
    <x:numFmt numFmtId="204" formatCode="#,##0"/>
    <x:numFmt numFmtId="205" formatCode="0.00%"/>
  </x:numFmts>
  <x:fonts count="25">
    <x:font>
      <x:sz val="11"/>
      <x:color theme="1"/>
      <x:name val="Calibri"/>
      <x:scheme val="minor"/>
    </x:font>
    <x:font>
      <x:b/>
      <x:sz val="14"/>
      <x:color theme="1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b/>
      <x:sz val="11"/>
      <x:color theme="1"/>
      <x:name val="Arial"/>
    </x:font>
    <x:font>
      <x:sz val="11"/>
      <x:color theme="1"/>
      <x:name val="Calibri"/>
    </x:font>
    <x:font>
      <x:i/>
      <x:sz val="9"/>
      <x:color rgb="FF808080"/>
      <x:name val="Arial"/>
    </x:font>
    <x:font>
      <x:b/>
      <x:sz val="11"/>
      <x:color rgb="FFFFFFFF"/>
      <x:name val="Arial"/>
    </x:font>
    <x:font>
      <x:b/>
      <x:sz val="10"/>
      <x:color rgb="FFC00000"/>
      <x:name val="Arial"/>
    </x:font>
    <x:font>
      <x:sz val="10"/>
      <x:color rgb="FF0000FF"/>
      <x:name val="Arial"/>
    </x:font>
    <x:font>
      <x:color theme="1"/>
      <x:name val="Calibri"/>
      <x:scheme val="minor"/>
    </x:font>
    <x:font>
      <x:sz val="10"/>
      <x:color rgb="FF008000"/>
      <x:name val="Arial"/>
    </x:font>
    <x:font/>
    <x:font>
      <x:sz val="11"/>
      <x:color theme="1"/>
      <x:name val="Arial"/>
      <x:scheme val="minor"/>
    </x:font>
    <x:font>
      <x:sz val="11"/>
      <x:color theme="1"/>
      <x:name val="Arial"/>
    </x:font>
    <x:font>
      <x:b/>
      <x:sz val="11"/>
      <x:color rgb="FFC00000"/>
      <x:name val="Arial"/>
    </x:font>
    <x:font>
      <x:sz val="11"/>
      <x:color rgb="FF0000FF"/>
      <x:name val="Calibri"/>
      <x:scheme val="minor"/>
    </x:font>
    <x:font>
      <x:color theme="1"/>
      <x:name val="Arial"/>
      <x:scheme val="minor"/>
    </x:font>
    <x:font>
      <x:name val="Arial"/>
    </x:font>
    <x:font>
      <x:sz val="10"/>
      <x:color theme="1"/>
      <x:name val="Arial"/>
      <x:scheme val="minor"/>
    </x:font>
    <x:font>
      <x:i/>
      <x:sz val="10"/>
      <x:color rgb="FF808080"/>
      <x:name val="Arial"/>
    </x:font>
    <x:font>
      <x:b/>
      <x:sz val="10"/>
      <x:color rgb="FFFFFFFF"/>
      <x:name val="Arial"/>
    </x:font>
    <x:font>
      <x:sz val="10"/>
      <x:name val="Arial"/>
    </x:font>
    <x:font>
      <x:sz val="11"/>
      <x:color rgb="FF0000FF"/>
      <x:name val="Arial"/>
      <x:scheme val="minor"/>
    </x:font>
    <x:font>
      <x:b/>
      <x:sz val="11"/>
      <x:color rgb="FFFFFFFF"/>
      <x:name val="Arial"/>
      <x:scheme val="minor"/>
    </x:font>
  </x:fonts>
  <x:fills count="10">
    <x:fill>
      <x:patternFill patternType="none"/>
    </x:fill>
    <x:fill>
      <x:patternFill patternType="lightGray"/>
    </x:fill>
    <x:fill>
      <x:patternFill patternType="solid">
        <x:fgColor rgb="FFD9E2F3"/>
      </x:patternFill>
    </x:fill>
    <x:fill>
      <x:patternFill patternType="solid">
        <x:fgColor rgb="FF1F3864"/>
      </x:patternFill>
    </x:fill>
    <x:fill>
      <x:patternFill patternType="solid">
        <x:fgColor rgb="FFFFFF99"/>
      </x:patternFill>
    </x:fill>
    <x:fill>
      <x:patternFill patternType="solid">
        <x:fgColor rgb="FFEDEDED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163B45"/>
      </x:patternFill>
    </x:fill>
    <x:fill>
      <x:patternFill patternType="solid">
        <x:fgColor rgb="FFE5F1EB"/>
      </x:patternFill>
    </x:fill>
  </x:fills>
  <x:borders count="13">
    <x:border/>
    <x:border>
      <x:left/>
      <x:right/>
      <x:top/>
      <x:bottom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</x:borders>
  <x:cellStyleXfs count="1">
    <x:xf numFmtId="0" fontId="0" fillId="0" borderId="0" applyFont="1" applyAlignment="1"/>
  </x:cellStyleXfs>
  <x:cellXfs count="210">
    <x:xf numFmtId="0" fontId="0" fillId="0" borderId="0" xfId="0" applyFont="1" applyAlignment="1">
      <x:alignment vertical="bottom" wrapText="0" shrinkToFit="0"/>
    </x:xf>
    <x:xf numFmtId="0" fontId="1" fillId="0" borderId="0" xfId="0" applyFont="1" applyAlignment="1">
      <x:alignment vertical="bottom" wrapText="0" shrinkToFit="0"/>
    </x:xf>
    <x:xf numFmtId="0" fontId="2" fillId="0" borderId="0" xfId="0" applyFont="1" applyAlignment="1">
      <x:alignment vertical="bottom" wrapText="0" shrinkToFit="0"/>
    </x:xf>
    <x:xf numFmtId="0" fontId="3" fillId="0" borderId="0" xfId="0" applyFont="1" applyAlignment="1">
      <x:alignment vertical="top" wrapText="1" shrinkToFit="0"/>
    </x:xf>
    <x:xf numFmtId="0" fontId="4" fillId="2" borderId="1" xfId="0" applyFont="1" applyFill="1" applyBorder="1" applyAlignment="1">
      <x:alignment vertical="bottom" wrapText="0" shrinkToFit="0"/>
    </x:xf>
    <x:xf numFmtId="0" fontId="5" fillId="2" borderId="1" xfId="0" applyFont="1" applyFill="1" applyBorder="1" applyAlignment="1">
      <x:alignment vertical="bottom" wrapText="0" shrinkToFit="0"/>
    </x:xf>
    <x:xf numFmtId="0" fontId="6" fillId="0" borderId="0" xfId="0" applyFont="1" applyAlignment="1">
      <x:alignment vertical="bottom" wrapText="0" shrinkToFit="0"/>
    </x:xf>
    <x:xf numFmtId="0" fontId="4" fillId="2" borderId="2" xfId="0" applyFont="1" applyFill="1" applyBorder="1" applyAlignment="1">
      <x:alignment vertical="bottom" wrapText="0" shrinkToFit="0"/>
    </x:xf>
    <x:xf numFmtId="0" fontId="5" fillId="2" borderId="2" xfId="0" applyFont="1" applyFill="1" applyBorder="1" applyAlignment="1">
      <x:alignment vertical="bottom" wrapText="0" shrinkToFit="0"/>
    </x:xf>
    <x:xf numFmtId="0" fontId="7" fillId="3" borderId="2" xfId="0" applyFont="1" applyFill="1" applyBorder="1" applyAlignment="1">
      <x:alignment horizontal="center" vertical="center" wrapText="1" shrinkToFit="0"/>
    </x:xf>
    <x:xf numFmtId="0" fontId="8" fillId="0" borderId="0" xfId="0" applyFont="1" applyAlignment="1">
      <x:alignment vertical="top" wrapText="1" shrinkToFit="0"/>
    </x:xf>
    <x:xf numFmtId="0" fontId="3" fillId="0" borderId="2" xfId="0" applyFont="1" applyBorder="1" applyAlignment="1">
      <x:alignment vertical="bottom" wrapText="0" shrinkToFit="0"/>
    </x:xf>
    <x:xf numFmtId="3" fontId="9" fillId="4" borderId="2" xfId="0" applyNumberFormat="1" applyFont="1" applyFill="1" applyBorder="1" applyAlignment="1">
      <x:alignment vertical="bottom" wrapText="0" shrinkToFit="0"/>
    </x:xf>
    <x:xf numFmtId="0" fontId="6" fillId="0" borderId="0" xfId="0" applyFont="1" applyAlignment="1">
      <x:alignment vertical="top" wrapText="1" shrinkToFit="0"/>
    </x:xf>
    <x:xf numFmtId="164" fontId="9" fillId="4" borderId="2" xfId="0" applyNumberFormat="1" applyFont="1" applyFill="1" applyBorder="1" applyAlignment="1">
      <x:alignment vertical="bottom" wrapText="0" shrinkToFit="0"/>
    </x:xf>
    <x:xf numFmtId="0" fontId="2" fillId="0" borderId="2" xfId="0" applyFont="1" applyBorder="1" applyAlignment="1">
      <x:alignment vertical="bottom" wrapText="0" shrinkToFit="0"/>
    </x:xf>
    <x:xf numFmtId="165" fontId="2" fillId="0" borderId="2" xfId="0" applyNumberFormat="1" applyFont="1" applyBorder="1" applyAlignment="1">
      <x:alignment vertical="bottom" wrapText="0" shrinkToFit="0"/>
    </x:xf>
    <x:xf numFmtId="0" fontId="9" fillId="4" borderId="2" xfId="0" applyFont="1" applyFill="1" applyBorder="1" applyAlignment="1">
      <x:alignment vertical="bottom" wrapText="0" shrinkToFit="0"/>
    </x:xf>
    <x:xf numFmtId="165" fontId="9" fillId="4" borderId="2" xfId="0" applyNumberFormat="1" applyFont="1" applyFill="1" applyBorder="1" applyAlignment="1">
      <x:alignment vertical="bottom" wrapText="0" shrinkToFit="0"/>
    </x:xf>
    <x:xf numFmtId="166" fontId="9" fillId="4" borderId="2" xfId="0" applyNumberFormat="1" applyFont="1" applyFill="1" applyBorder="1" applyAlignment="1">
      <x:alignment vertical="bottom" wrapText="0" shrinkToFit="0"/>
    </x:xf>
    <x:xf numFmtId="167" fontId="9" fillId="4" borderId="2" xfId="0" applyNumberFormat="1" applyFont="1" applyFill="1" applyBorder="1" applyAlignment="1">
      <x:alignment vertical="bottom" wrapText="0" shrinkToFit="0"/>
    </x:xf>
    <x:xf numFmtId="1" fontId="9" fillId="4" borderId="2" xfId="0" applyNumberFormat="1" applyFont="1" applyFill="1" applyBorder="1" applyAlignment="1">
      <x:alignment vertical="bottom" wrapText="0" shrinkToFit="0"/>
    </x:xf>
    <x:xf numFmtId="2" fontId="3" fillId="0" borderId="2" xfId="0" applyNumberFormat="1" applyFont="1" applyBorder="1" applyAlignment="1">
      <x:alignment vertical="bottom" wrapText="0" shrinkToFit="0"/>
    </x:xf>
    <x:xf numFmtId="165" fontId="3" fillId="0" borderId="2" xfId="0" applyNumberFormat="1" applyFont="1" applyBorder="1" applyAlignment="1">
      <x:alignment vertical="bottom" wrapText="0" shrinkToFit="0"/>
    </x:xf>
    <x:xf numFmtId="0" fontId="5" fillId="0" borderId="2" xfId="0" applyFont="1" applyBorder="1" applyAlignment="1">
      <x:alignment vertical="bottom" wrapText="0" shrinkToFit="0"/>
    </x:xf>
    <x:xf numFmtId="0" fontId="6" fillId="0" borderId="2" xfId="0" applyFont="1" applyBorder="1" applyAlignment="1">
      <x:alignment vertical="top" wrapText="1" shrinkToFit="0"/>
    </x:xf>
    <x:xf numFmtId="0" fontId="2" fillId="5" borderId="2" xfId="0" applyFont="1" applyFill="1" applyBorder="1" applyAlignment="1">
      <x:alignment vertical="bottom" wrapText="0" shrinkToFit="0"/>
    </x:xf>
    <x:xf numFmtId="0" fontId="5" fillId="5" borderId="2" xfId="0" applyFont="1" applyFill="1" applyBorder="1" applyAlignment="1">
      <x:alignment vertical="bottom" wrapText="0" shrinkToFit="0"/>
    </x:xf>
    <x:xf numFmtId="165" fontId="2" fillId="5" borderId="2" xfId="0" applyNumberFormat="1" applyFont="1" applyFill="1" applyBorder="1" applyAlignment="1">
      <x:alignment vertical="bottom" wrapText="0" shrinkToFit="0"/>
    </x:xf>
    <x:xf numFmtId="166" fontId="2" fillId="5" borderId="2" xfId="0" applyNumberFormat="1" applyFont="1" applyFill="1" applyBorder="1" applyAlignment="1">
      <x:alignment vertical="bottom" wrapText="0" shrinkToFit="0"/>
    </x:xf>
    <x:xf numFmtId="0" fontId="10" fillId="0" borderId="0" xfId="0" applyFont="1"/>
    <x:xf numFmtId="165" fontId="11" fillId="0" borderId="2" xfId="0" applyNumberFormat="1" applyFont="1" applyBorder="1" applyAlignment="1">
      <x:alignment vertical="bottom" wrapText="0" shrinkToFit="0"/>
    </x:xf>
    <x:xf numFmtId="168" fontId="11" fillId="0" borderId="2" xfId="0" applyNumberFormat="1" applyFont="1" applyBorder="1" applyAlignment="1">
      <x:alignment vertical="bottom" wrapText="0" shrinkToFit="0"/>
    </x:xf>
    <x:xf numFmtId="165" fontId="2" fillId="6" borderId="3" xfId="0" applyNumberFormat="1" applyFont="1" applyFill="1" applyBorder="1" applyAlignment="1">
      <x:alignment vertical="bottom" wrapText="0" shrinkToFit="0"/>
    </x:xf>
    <x:xf numFmtId="0" fontId="12" fillId="0" borderId="4" xfId="0" applyFont="1" applyBorder="1"/>
    <x:xf numFmtId="0" fontId="2" fillId="6" borderId="3" xfId="0" applyFont="1" applyFill="1" applyBorder="1" applyAlignment="1">
      <x:alignment vertical="bottom" wrapText="0" shrinkToFit="0"/>
    </x:xf>
    <x:xf numFmtId="164" fontId="2" fillId="6" borderId="3" xfId="0" applyNumberFormat="1" applyFont="1" applyFill="1" applyBorder="1" applyAlignment="1">
      <x:alignment vertical="bottom" wrapText="0" shrinkToFit="0"/>
    </x:xf>
    <x:xf numFmtId="10" fontId="2" fillId="6" borderId="3" xfId="0" applyNumberFormat="1" applyFont="1" applyFill="1" applyBorder="1" applyAlignment="1">
      <x:alignment vertical="bottom" wrapText="0" shrinkToFit="0"/>
    </x:xf>
    <x:xf numFmtId="166" fontId="2" fillId="6" borderId="3" xfId="0" applyNumberFormat="1" applyFont="1" applyFill="1" applyBorder="1" applyAlignment="1">
      <x:alignment vertical="bottom" wrapText="0" shrinkToFit="0"/>
    </x:xf>
    <x:xf numFmtId="0" fontId="4" fillId="0" borderId="0" xfId="0" applyFont="1" applyAlignment="1">
      <x:alignment vertical="bottom" wrapText="0" shrinkToFit="0"/>
    </x:xf>
    <x:xf numFmtId="0" fontId="9" fillId="4" borderId="5" xfId="0" applyFont="1" applyFill="1" applyBorder="1" applyAlignment="1">
      <x:alignment vertical="top" wrapText="1" shrinkToFit="0"/>
    </x:xf>
    <x:xf numFmtId="0" fontId="12" fillId="0" borderId="6" xfId="0" applyFont="1" applyBorder="1"/>
    <x:xf numFmtId="0" fontId="12" fillId="0" borderId="7" xfId="0" applyFont="1" applyBorder="1"/>
    <x:xf numFmtId="0" fontId="12" fillId="0" borderId="8" xfId="0" applyFont="1" applyBorder="1"/>
    <x:xf numFmtId="0" fontId="12" fillId="0" borderId="9" xfId="0" applyFont="1" applyBorder="1"/>
    <x:xf numFmtId="0" fontId="12" fillId="0" borderId="10" xfId="0" applyFont="1" applyBorder="1"/>
    <x:xf numFmtId="0" fontId="12" fillId="0" borderId="11" xfId="0" applyFont="1" applyBorder="1"/>
    <x:xf numFmtId="0" fontId="12" fillId="0" borderId="12" xfId="0" applyFont="1" applyBorder="1"/>
    <x:xf numFmtId="0" fontId="4" fillId="0" borderId="0" xfId="0" applyNumberFormat="1" applyFont="1" applyFill="1" applyBorder="1" applyAlignment="1">
      <x:alignment vertical="bottom" wrapText="0"/>
    </x:xf>
    <x:xf numFmtId="0" fontId="13" fillId="0" borderId="0" xfId="0" applyNumberFormat="1" applyFont="1" applyFill="1" applyBorder="1" applyAlignment="1">
      <x:alignment vertical="bottom" wrapText="0"/>
    </x:xf>
    <x:xf numFmtId="0" fontId="14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bottom" wrapText="0"/>
    </x:xf>
    <x:xf numFmtId="0" fontId="14" fillId="2" borderId="1" xfId="0" applyNumberFormat="1" applyFont="1" applyFill="1" applyBorder="1" applyAlignment="1">
      <x:alignment vertical="bottom" wrapText="0"/>
    </x:xf>
    <x:xf numFmtId="0" fontId="15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bottom" wrapText="1"/>
    </x:xf>
    <x:xf numFmtId="0" fontId="13" fillId="0" borderId="0" xfId="0" applyNumberFormat="1" applyFont="1" applyFill="1" applyBorder="1" applyAlignment="1">
      <x:alignment vertical="bottom" wrapText="1"/>
    </x:xf>
    <x:xf numFmtId="0" fontId="4" fillId="2" borderId="1" xfId="0" applyNumberFormat="1" applyFont="1" applyFill="1" applyBorder="1" applyAlignment="1">
      <x:alignment vertical="bottom" wrapText="1"/>
    </x:xf>
    <x:xf numFmtId="0" fontId="14" fillId="2" borderId="1" xfId="0" applyNumberFormat="1" applyFont="1" applyFill="1" applyBorder="1" applyAlignment="1">
      <x:alignment vertical="bottom" wrapText="1"/>
    </x:xf>
    <x:xf numFmtId="0" fontId="0" fillId="7" borderId="0" xfId="0" applyNumberFormat="1" applyFont="1" applyFill="1" applyBorder="1" applyAlignment="1">
      <x:alignment vertical="bottom" wrapText="0"/>
    </x:xf>
    <x:xf numFmtId="0" fontId="16" fillId="7" borderId="0" xfId="0" applyNumberFormat="1" applyFont="1" applyFill="1" applyBorder="1" applyAlignment="1">
      <x:alignment vertical="bottom" wrapText="0"/>
    </x:xf>
    <x:xf numFmtId="166" fontId="16" fillId="7" borderId="0" xfId="0" applyNumberFormat="1" applyFont="1" applyFill="1" applyBorder="1" applyAlignment="1">
      <x:alignment vertical="bottom" wrapText="0"/>
    </x:xf>
    <x:xf numFmtId="200" fontId="16" fillId="7" borderId="0" xfId="0" applyNumberFormat="1" applyFont="1" applyFill="1" applyBorder="1" applyAlignment="1">
      <x:alignment vertical="bottom" wrapText="0"/>
    </x:xf>
    <x:xf numFmtId="0" fontId="9" fillId="7" borderId="2" xfId="0" applyNumberFormat="1" applyFont="1" applyFill="1" applyBorder="1" applyAlignment="1">
      <x:alignment vertical="bottom" wrapText="0"/>
    </x:xf>
    <x:xf numFmtId="165" fontId="9" fillId="7" borderId="2" xfId="0" applyNumberFormat="1" applyFont="1" applyFill="1" applyBorder="1" applyAlignment="1">
      <x:alignment vertical="bottom" wrapText="0"/>
    </x:xf>
    <x:xf numFmtId="165" fontId="3" fillId="7" borderId="2" xfId="0" applyNumberFormat="1" applyFont="1" applyFill="1" applyBorder="1" applyAlignment="1">
      <x:alignment vertical="bottom" wrapText="0"/>
    </x:xf>
    <x:xf numFmtId="201" fontId="16" fillId="7" borderId="0" xfId="0" applyNumberFormat="1" applyFont="1" applyFill="1" applyBorder="1" applyAlignment="1">
      <x:alignment vertical="bottom" wrapText="0"/>
    </x:xf>
    <x:xf numFmtId="201" fontId="0" fillId="0" borderId="0" xfId="0" applyNumberFormat="1" applyFont="1" applyFill="1" applyBorder="1" applyAlignment="1">
      <x:alignment vertical="bottom" wrapText="0"/>
    </x:xf>
    <x:xf numFmtId="202" fontId="16" fillId="7" borderId="0" xfId="0" applyNumberFormat="1" applyFont="1" applyFill="1" applyBorder="1" applyAlignment="1">
      <x:alignment vertical="bottom" wrapText="0"/>
    </x:xf>
    <x:xf numFmtId="0" fontId="0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bottom" wrapText="0"/>
    </x:xf>
    <x:xf numFmtId="0" fontId="6" fillId="0" borderId="0" xfId="0" applyNumberFormat="1" applyFont="1" applyFill="1" applyBorder="1" applyAlignment="1">
      <x:alignment vertical="bottom" wrapText="0"/>
    </x:xf>
    <x:xf numFmtId="0" fontId="7" fillId="3" borderId="2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vertical="bottom" wrapText="0"/>
    </x:xf>
    <x:xf numFmtId="0" fontId="14" fillId="2" borderId="2" xfId="0" applyNumberFormat="1" applyFont="1" applyFill="1" applyBorder="1" applyAlignment="1">
      <x:alignment vertical="bottom" wrapText="0"/>
    </x:xf>
    <x:xf numFmtId="0" fontId="3" fillId="0" borderId="2" xfId="0" applyNumberFormat="1" applyFont="1" applyFill="1" applyBorder="1" applyAlignment="1">
      <x:alignment vertical="bottom" wrapText="0"/>
    </x:xf>
    <x:xf numFmtId="165" fontId="3" fillId="0" borderId="2" xfId="0" applyNumberFormat="1" applyFont="1" applyFill="1" applyBorder="1" applyAlignment="1">
      <x:alignment vertical="bottom" wrapText="0"/>
    </x:xf>
    <x:xf numFmtId="0" fontId="14" fillId="0" borderId="2" xfId="0" applyNumberFormat="1" applyFont="1" applyFill="1" applyBorder="1" applyAlignment="1">
      <x:alignment vertical="bottom" wrapText="0"/>
    </x:xf>
    <x:xf numFmtId="0" fontId="6" fillId="0" borderId="2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vertical="bottom" wrapText="0"/>
    </x:xf>
    <x:xf numFmtId="0" fontId="14" fillId="5" borderId="2" xfId="0" applyNumberFormat="1" applyFont="1" applyFill="1" applyBorder="1" applyAlignment="1">
      <x:alignment vertical="bottom" wrapText="0"/>
    </x:xf>
    <x:xf numFmtId="165" fontId="2" fillId="5" borderId="2" xfId="0" applyNumberFormat="1" applyFont="1" applyFill="1" applyBorder="1" applyAlignment="1">
      <x:alignment vertical="bottom" wrapText="0"/>
    </x:xf>
    <x:xf numFmtId="166" fontId="2" fillId="5" borderId="2" xfId="0" applyNumberFormat="1" applyFont="1" applyFill="1" applyBorder="1" applyAlignment="1">
      <x:alignment vertical="bottom" wrapText="0"/>
    </x:xf>
    <x:xf numFmtId="0" fontId="17" fillId="0" borderId="0" xfId="0" applyNumberFormat="1" applyFont="1" applyFill="1" applyBorder="1"/>
    <x:xf numFmtId="0" fontId="2" fillId="0" borderId="2" xfId="0" applyNumberFormat="1" applyFont="1" applyFill="1" applyBorder="1" applyAlignment="1">
      <x:alignment vertical="bottom" wrapText="0"/>
    </x:xf>
    <x:xf numFmtId="165" fontId="11" fillId="0" borderId="2" xfId="0" applyNumberFormat="1" applyFont="1" applyFill="1" applyBorder="1" applyAlignment="1">
      <x:alignment vertical="bottom" wrapText="0"/>
    </x:xf>
    <x:xf numFmtId="0" fontId="6" fillId="0" borderId="0" xfId="0" applyNumberFormat="1" applyFont="1" applyFill="1" applyBorder="1" applyAlignment="1">
      <x:alignment vertical="top" wrapText="1"/>
    </x:xf>
    <x:xf numFmtId="168" fontId="11" fillId="0" borderId="2" xfId="0" applyNumberFormat="1" applyFont="1" applyFill="1" applyBorder="1" applyAlignment="1">
      <x:alignment vertical="bottom" wrapText="0"/>
    </x:xf>
    <x:xf numFmtId="165" fontId="2" fillId="6" borderId="3" xfId="0" applyNumberFormat="1" applyFont="1" applyFill="1" applyBorder="1" applyAlignment="1">
      <x:alignment vertical="bottom" wrapText="0"/>
    </x:xf>
    <x:xf numFmtId="0" fontId="18" fillId="0" borderId="4" xfId="0" applyNumberFormat="1" applyFont="1" applyFill="1" applyBorder="1"/>
    <x:xf numFmtId="0" fontId="2" fillId="6" borderId="3" xfId="0" applyNumberFormat="1" applyFont="1" applyFill="1" applyBorder="1" applyAlignment="1">
      <x:alignment vertical="bottom" wrapText="0"/>
    </x:xf>
    <x:xf numFmtId="164" fontId="2" fillId="6" borderId="3" xfId="0" applyNumberFormat="1" applyFont="1" applyFill="1" applyBorder="1" applyAlignment="1">
      <x:alignment vertical="bottom" wrapText="0"/>
    </x:xf>
    <x:xf numFmtId="10" fontId="2" fillId="6" borderId="3" xfId="0" applyNumberFormat="1" applyFont="1" applyFill="1" applyBorder="1" applyAlignment="1">
      <x:alignment vertical="bottom" wrapText="0"/>
    </x:xf>
    <x:xf numFmtId="166" fontId="2" fillId="6" borderId="3" xfId="0" applyNumberFormat="1" applyFont="1" applyFill="1" applyBorder="1" applyAlignment="1">
      <x:alignment vertical="bottom" wrapText="0"/>
    </x:xf>
    <x:xf numFmtId="0" fontId="9" fillId="4" borderId="5" xfId="0" applyNumberFormat="1" applyFont="1" applyFill="1" applyBorder="1" applyAlignment="1">
      <x:alignment vertical="top" wrapText="1"/>
    </x:xf>
    <x:xf numFmtId="0" fontId="18" fillId="0" borderId="6" xfId="0" applyNumberFormat="1" applyFont="1" applyFill="1" applyBorder="1"/>
    <x:xf numFmtId="0" fontId="18" fillId="0" borderId="7" xfId="0" applyNumberFormat="1" applyFont="1" applyFill="1" applyBorder="1"/>
    <x:xf numFmtId="0" fontId="18" fillId="0" borderId="8" xfId="0" applyNumberFormat="1" applyFont="1" applyFill="1" applyBorder="1"/>
    <x:xf numFmtId="0" fontId="18" fillId="0" borderId="9" xfId="0" applyNumberFormat="1" applyFont="1" applyFill="1" applyBorder="1"/>
    <x:xf numFmtId="0" fontId="18" fillId="0" borderId="10" xfId="0" applyNumberFormat="1" applyFont="1" applyFill="1" applyBorder="1"/>
    <x:xf numFmtId="0" fontId="18" fillId="0" borderId="11" xfId="0" applyNumberFormat="1" applyFont="1" applyFill="1" applyBorder="1"/>
    <x:xf numFmtId="0" fontId="18" fillId="0" borderId="12" xfId="0" applyNumberFormat="1" applyFont="1" applyFill="1" applyBorder="1"/>
    <x:xf numFmtId="0" fontId="2" fillId="0" borderId="0" xfId="0" applyNumberFormat="1" applyFont="1" applyFill="1" applyBorder="1" applyAlignment="1">
      <x:alignment vertical="bottom" wrapText="0"/>
    </x:xf>
    <x:xf numFmtId="0" fontId="19" fillId="0" borderId="0" xfId="0" applyNumberFormat="1" applyFont="1" applyFill="1" applyBorder="1" applyAlignment="1">
      <x:alignment vertical="bottom" wrapText="0"/>
    </x:xf>
    <x:xf numFmtId="0" fontId="20" fillId="0" borderId="0" xfId="0" applyNumberFormat="1" applyFont="1" applyFill="1" applyBorder="1" applyAlignment="1">
      <x:alignment vertical="bottom" wrapText="0"/>
    </x:xf>
    <x:xf numFmtId="0" fontId="21" fillId="3" borderId="2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vertical="bottom" wrapText="0"/>
    </x:xf>
    <x:xf numFmtId="0" fontId="3" fillId="2" borderId="2" xfId="0" applyNumberFormat="1" applyFont="1" applyFill="1" applyBorder="1" applyAlignment="1">
      <x:alignment vertical="bottom" wrapText="0"/>
    </x:xf>
    <x:xf numFmtId="0" fontId="20" fillId="0" borderId="2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bottom" wrapText="0"/>
    </x:xf>
    <x:xf numFmtId="0" fontId="19" fillId="0" borderId="0" xfId="0" applyNumberFormat="1" applyFont="1" applyFill="1" applyBorder="1"/>
    <x:xf numFmtId="0" fontId="20" fillId="0" borderId="0" xfId="0" applyNumberFormat="1" applyFont="1" applyFill="1" applyBorder="1" applyAlignment="1">
      <x:alignment vertical="top" wrapText="1"/>
    </x:xf>
    <x:xf numFmtId="0" fontId="22" fillId="0" borderId="4" xfId="0" applyNumberFormat="1" applyFont="1" applyFill="1" applyBorder="1"/>
    <x:xf numFmtId="0" fontId="22" fillId="0" borderId="6" xfId="0" applyNumberFormat="1" applyFont="1" applyFill="1" applyBorder="1"/>
    <x:xf numFmtId="0" fontId="22" fillId="0" borderId="7" xfId="0" applyNumberFormat="1" applyFont="1" applyFill="1" applyBorder="1"/>
    <x:xf numFmtId="0" fontId="22" fillId="0" borderId="8" xfId="0" applyNumberFormat="1" applyFont="1" applyFill="1" applyBorder="1"/>
    <x:xf numFmtId="0" fontId="22" fillId="0" borderId="9" xfId="0" applyNumberFormat="1" applyFont="1" applyFill="1" applyBorder="1"/>
    <x:xf numFmtId="0" fontId="22" fillId="0" borderId="10" xfId="0" applyNumberFormat="1" applyFont="1" applyFill="1" applyBorder="1"/>
    <x:xf numFmtId="0" fontId="22" fillId="0" borderId="11" xfId="0" applyNumberFormat="1" applyFont="1" applyFill="1" applyBorder="1"/>
    <x:xf numFmtId="0" fontId="22" fillId="0" borderId="12" xfId="0" applyNumberFormat="1" applyFont="1" applyFill="1" applyBorder="1"/>
    <x:xf numFmtId="0" fontId="2" fillId="0" borderId="0" xfId="0" applyNumberFormat="1" applyFont="1" applyFill="1" applyBorder="1" applyAlignment="1">
      <x:alignment vertical="bottom" wrapText="1"/>
    </x:xf>
    <x:xf numFmtId="0" fontId="19" fillId="0" borderId="0" xfId="0" applyNumberFormat="1" applyFont="1" applyFill="1" applyBorder="1" applyAlignment="1">
      <x:alignment vertical="bottom" wrapText="1"/>
    </x:xf>
    <x:xf numFmtId="0" fontId="20" fillId="0" borderId="0" xfId="0" applyNumberFormat="1" applyFont="1" applyFill="1" applyBorder="1" applyAlignment="1">
      <x:alignment vertical="bottom" wrapText="1"/>
    </x:xf>
    <x:xf numFmtId="0" fontId="2" fillId="2" borderId="2" xfId="0" applyNumberFormat="1" applyFont="1" applyFill="1" applyBorder="1" applyAlignment="1">
      <x:alignment vertical="bottom" wrapText="1"/>
    </x:xf>
    <x:xf numFmtId="0" fontId="3" fillId="2" borderId="2" xfId="0" applyNumberFormat="1" applyFont="1" applyFill="1" applyBorder="1" applyAlignment="1">
      <x:alignment vertical="bottom" wrapText="1"/>
    </x:xf>
    <x:xf numFmtId="0" fontId="3" fillId="0" borderId="2" xfId="0" applyNumberFormat="1" applyFont="1" applyFill="1" applyBorder="1" applyAlignment="1">
      <x:alignment vertical="bottom" wrapText="1"/>
    </x:xf>
    <x:xf numFmtId="0" fontId="9" fillId="7" borderId="2" xfId="0" applyNumberFormat="1" applyFont="1" applyFill="1" applyBorder="1" applyAlignment="1">
      <x:alignment vertical="bottom" wrapText="1"/>
    </x:xf>
    <x:xf numFmtId="165" fontId="9" fillId="7" borderId="2" xfId="0" applyNumberFormat="1" applyFont="1" applyFill="1" applyBorder="1" applyAlignment="1">
      <x:alignment vertical="bottom" wrapText="1"/>
    </x:xf>
    <x:xf numFmtId="165" fontId="3" fillId="0" borderId="2" xfId="0" applyNumberFormat="1" applyFont="1" applyFill="1" applyBorder="1" applyAlignment="1">
      <x:alignment vertical="bottom" wrapText="1"/>
    </x:xf>
    <x:xf numFmtId="0" fontId="2" fillId="5" borderId="2" xfId="0" applyNumberFormat="1" applyFont="1" applyFill="1" applyBorder="1" applyAlignment="1">
      <x:alignment vertical="bottom" wrapText="1"/>
    </x:xf>
    <x:xf numFmtId="0" fontId="3" fillId="5" borderId="2" xfId="0" applyNumberFormat="1" applyFont="1" applyFill="1" applyBorder="1" applyAlignment="1">
      <x:alignment vertical="bottom" wrapText="1"/>
    </x:xf>
    <x:xf numFmtId="165" fontId="2" fillId="5" borderId="2" xfId="0" applyNumberFormat="1" applyFont="1" applyFill="1" applyBorder="1" applyAlignment="1">
      <x:alignment vertical="bottom" wrapText="1"/>
    </x:xf>
    <x:xf numFmtId="166" fontId="2" fillId="5" borderId="2" xfId="0" applyNumberFormat="1" applyFont="1" applyFill="1" applyBorder="1" applyAlignment="1">
      <x:alignment vertical="bottom" wrapText="1"/>
    </x:xf>
    <x:xf numFmtId="0" fontId="19" fillId="0" borderId="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bottom" wrapText="1"/>
    </x:xf>
    <x:xf numFmtId="165" fontId="11" fillId="0" borderId="2" xfId="0" applyNumberFormat="1" applyFont="1" applyFill="1" applyBorder="1" applyAlignment="1">
      <x:alignment vertical="bottom" wrapText="1"/>
    </x:xf>
    <x:xf numFmtId="168" fontId="11" fillId="0" borderId="2" xfId="0" applyNumberFormat="1" applyFont="1" applyFill="1" applyBorder="1" applyAlignment="1">
      <x:alignment vertical="bottom" wrapText="1"/>
    </x:xf>
    <x:xf numFmtId="165" fontId="2" fillId="6" borderId="3" xfId="0" applyNumberFormat="1" applyFont="1" applyFill="1" applyBorder="1" applyAlignment="1">
      <x:alignment vertical="bottom" wrapText="1"/>
    </x:xf>
    <x:xf numFmtId="0" fontId="22" fillId="0" borderId="4" xfId="0" applyNumberFormat="1" applyFont="1" applyFill="1" applyBorder="1" applyAlignment="1">
      <x:alignment wrapText="1"/>
    </x:xf>
    <x:xf numFmtId="0" fontId="2" fillId="6" borderId="3" xfId="0" applyNumberFormat="1" applyFont="1" applyFill="1" applyBorder="1" applyAlignment="1">
      <x:alignment vertical="bottom" wrapText="1"/>
    </x:xf>
    <x:xf numFmtId="164" fontId="2" fillId="6" borderId="3" xfId="0" applyNumberFormat="1" applyFont="1" applyFill="1" applyBorder="1" applyAlignment="1">
      <x:alignment vertical="bottom" wrapText="1"/>
    </x:xf>
    <x:xf numFmtId="10" fontId="2" fillId="6" borderId="3" xfId="0" applyNumberFormat="1" applyFont="1" applyFill="1" applyBorder="1" applyAlignment="1">
      <x:alignment vertical="bottom" wrapText="1"/>
    </x:xf>
    <x:xf numFmtId="166" fontId="2" fillId="6" borderId="3" xfId="0" applyNumberFormat="1" applyFont="1" applyFill="1" applyBorder="1" applyAlignment="1">
      <x:alignment vertical="bottom" wrapText="1"/>
    </x:xf>
    <x:xf numFmtId="0" fontId="22" fillId="0" borderId="6" xfId="0" applyNumberFormat="1" applyFont="1" applyFill="1" applyBorder="1" applyAlignment="1">
      <x:alignment wrapText="1"/>
    </x:xf>
    <x:xf numFmtId="0" fontId="22" fillId="0" borderId="7" xfId="0" applyNumberFormat="1" applyFont="1" applyFill="1" applyBorder="1" applyAlignment="1">
      <x:alignment wrapText="1"/>
    </x:xf>
    <x:xf numFmtId="0" fontId="22" fillId="0" borderId="8" xfId="0" applyNumberFormat="1" applyFont="1" applyFill="1" applyBorder="1" applyAlignment="1">
      <x:alignment wrapText="1"/>
    </x:xf>
    <x:xf numFmtId="0" fontId="22" fillId="0" borderId="9" xfId="0" applyNumberFormat="1" applyFont="1" applyFill="1" applyBorder="1" applyAlignment="1">
      <x:alignment wrapText="1"/>
    </x:xf>
    <x:xf numFmtId="0" fontId="22" fillId="0" borderId="10" xfId="0" applyNumberFormat="1" applyFont="1" applyFill="1" applyBorder="1" applyAlignment="1">
      <x:alignment wrapText="1"/>
    </x:xf>
    <x:xf numFmtId="0" fontId="22" fillId="0" borderId="11" xfId="0" applyNumberFormat="1" applyFont="1" applyFill="1" applyBorder="1" applyAlignment="1">
      <x:alignment wrapText="1"/>
    </x:xf>
    <x:xf numFmtId="0" fontId="22" fillId="0" borderId="12" xfId="0" applyNumberFormat="1" applyFont="1" applyFill="1" applyBorder="1" applyAlignment="1">
      <x:alignment wrapText="1"/>
    </x:xf>
    <x:xf numFmtId="201" fontId="3" fillId="0" borderId="2" xfId="0" applyNumberFormat="1" applyFont="1" applyFill="1" applyBorder="1" applyAlignment="1">
      <x:alignment vertical="bottom" wrapText="1"/>
    </x:xf>
    <x:xf numFmtId="201" fontId="2" fillId="5" borderId="2" xfId="0" applyNumberFormat="1" applyFont="1" applyFill="1" applyBorder="1" applyAlignment="1">
      <x:alignment vertical="bottom" wrapText="1"/>
    </x:xf>
    <x:xf numFmtId="201" fontId="19" fillId="0" borderId="0" xfId="0" applyNumberFormat="1" applyFont="1" applyFill="1" applyBorder="1" applyAlignment="1">
      <x:alignment vertical="bottom" wrapText="1"/>
    </x:xf>
    <x:xf numFmtId="201" fontId="3" fillId="2" borderId="2" xfId="0" applyNumberFormat="1" applyFont="1" applyFill="1" applyBorder="1" applyAlignment="1">
      <x:alignment vertical="bottom" wrapText="1"/>
    </x:xf>
    <x:xf numFmtId="201" fontId="9" fillId="7" borderId="2" xfId="0" applyNumberFormat="1" applyFont="1" applyFill="1" applyBorder="1" applyAlignment="1">
      <x:alignment vertical="bottom" wrapText="1"/>
    </x:xf>
    <x:xf numFmtId="201" fontId="11" fillId="0" borderId="2" xfId="0" applyNumberFormat="1" applyFont="1" applyFill="1" applyBorder="1" applyAlignment="1">
      <x:alignment vertical="bottom" wrapText="1"/>
    </x:xf>
    <x:xf numFmtId="201" fontId="2" fillId="6" borderId="3" xfId="0" applyNumberFormat="1" applyFont="1" applyFill="1" applyBorder="1" applyAlignment="1">
      <x:alignment vertical="bottom" wrapText="1"/>
    </x:xf>
    <x:xf numFmtId="201" fontId="22" fillId="0" borderId="4" xfId="0" applyNumberFormat="1" applyFont="1" applyFill="1" applyBorder="1" applyAlignment="1">
      <x:alignment wrapText="1"/>
    </x:xf>
    <x:xf numFmtId="200" fontId="2" fillId="6" borderId="3" xfId="0" applyNumberFormat="1" applyFont="1" applyFill="1" applyBorder="1" applyAlignment="1">
      <x:alignment vertical="bottom" wrapText="1"/>
    </x:xf>
    <x:xf numFmtId="166" fontId="3" fillId="0" borderId="2" xfId="0" applyNumberFormat="1" applyFont="1" applyFill="1" applyBorder="1" applyAlignment="1">
      <x:alignment vertical="bottom" wrapText="1"/>
    </x:xf>
    <x:xf numFmtId="166" fontId="19" fillId="0" borderId="0" xfId="0" applyNumberFormat="1" applyFont="1" applyFill="1" applyBorder="1" applyAlignment="1">
      <x:alignment vertical="bottom" wrapText="1"/>
    </x:xf>
    <x:xf numFmtId="166" fontId="3" fillId="2" borderId="2" xfId="0" applyNumberFormat="1" applyFont="1" applyFill="1" applyBorder="1" applyAlignment="1">
      <x:alignment vertical="bottom" wrapText="1"/>
    </x:xf>
    <x:xf numFmtId="0" fontId="23" fillId="7" borderId="0" xfId="0" applyNumberFormat="1" applyFont="1" applyFill="1" applyBorder="1" applyAlignment="1">
      <x:alignment vertical="bottom" wrapText="0"/>
    </x:xf>
    <x:xf numFmtId="166" fontId="23" fillId="7" borderId="0" xfId="0" applyNumberFormat="1" applyFont="1" applyFill="1" applyBorder="1" applyAlignment="1">
      <x:alignment vertical="bottom" wrapText="0"/>
    </x:xf>
    <x:xf numFmtId="200" fontId="23" fillId="7" borderId="0" xfId="0" applyNumberFormat="1" applyFont="1" applyFill="1" applyBorder="1" applyAlignment="1">
      <x:alignment vertical="bottom" wrapText="0"/>
    </x:xf>
    <x:xf numFmtId="202" fontId="23" fillId="7" borderId="0" xfId="0" applyNumberFormat="1" applyFont="1" applyFill="1" applyBorder="1" applyAlignment="1">
      <x:alignment vertical="bottom" wrapText="0"/>
    </x:xf>
    <x:xf numFmtId="0" fontId="13" fillId="0" borderId="0" xfId="0" applyNumberFormat="1" applyFont="1" applyFill="1" applyBorder="1" applyAlignment="1">
      <x:alignment vertical="top" wrapText="0"/>
    </x:xf>
    <x:xf numFmtId="201" fontId="23" fillId="7" borderId="0" xfId="0" applyNumberFormat="1" applyFont="1" applyFill="1" applyBorder="1" applyAlignment="1">
      <x:alignment vertical="bottom" wrapText="0"/>
    </x:xf>
    <x:xf numFmtId="201" fontId="13" fillId="0" borderId="0" xfId="0" applyNumberFormat="1" applyFont="1" applyFill="1" applyBorder="1" applyAlignment="1">
      <x:alignment vertical="bottom" wrapText="0"/>
    </x:xf>
    <x:xf numFmtId="0" fontId="23" fillId="7" borderId="0" xfId="0" applyNumberFormat="1" applyFont="1" applyFill="1" applyBorder="1" applyAlignment="1">
      <x:alignment vertical="bottom" wrapText="1"/>
    </x:xf>
    <x:xf numFmtId="166" fontId="23" fillId="7" borderId="0" xfId="0" applyNumberFormat="1" applyFont="1" applyFill="1" applyBorder="1" applyAlignment="1">
      <x:alignment vertical="bottom" wrapText="1"/>
    </x:xf>
    <x:xf numFmtId="200" fontId="23" fillId="7" borderId="0" xfId="0" applyNumberFormat="1" applyFont="1" applyFill="1" applyBorder="1" applyAlignment="1">
      <x:alignment vertical="bottom" wrapText="1"/>
    </x:xf>
    <x:xf numFmtId="202" fontId="23" fillId="7" borderId="0" xfId="0" applyNumberFormat="1" applyFont="1" applyFill="1" applyBorder="1" applyAlignment="1">
      <x:alignment vertical="bottom" wrapText="1"/>
    </x:xf>
    <x:xf numFmtId="0" fontId="13" fillId="0" borderId="0" xfId="0" applyNumberFormat="1" applyFont="1" applyFill="1" applyBorder="1" applyAlignment="1">
      <x:alignment vertical="top" wrapText="1"/>
    </x:xf>
    <x:xf numFmtId="201" fontId="23" fillId="7" borderId="0" xfId="0" applyNumberFormat="1" applyFont="1" applyFill="1" applyBorder="1" applyAlignment="1">
      <x:alignment vertical="bottom" wrapText="1"/>
    </x:xf>
    <x:xf numFmtId="201" fontId="13" fillId="0" borderId="0" xfId="0" applyNumberFormat="1" applyFont="1" applyFill="1" applyBorder="1" applyAlignment="1">
      <x:alignment vertical="bottom" wrapText="1"/>
    </x:xf>
    <x:xf numFmtId="200" fontId="13" fillId="0" borderId="0" xfId="0" applyNumberFormat="1" applyFont="1" applyFill="1" applyBorder="1" applyAlignment="1">
      <x:alignment vertical="bottom" wrapText="1"/>
    </x:xf>
    <x:xf numFmtId="202" fontId="13" fillId="0" borderId="0" xfId="0" applyNumberFormat="1" applyFont="1" applyFill="1" applyBorder="1" applyAlignment="1">
      <x:alignment vertical="bottom" wrapText="1"/>
    </x:xf>
    <x:xf numFmtId="203" fontId="13" fillId="0" borderId="0" xfId="0" applyNumberFormat="1" applyFont="1" applyFill="1" applyBorder="1" applyAlignment="1">
      <x:alignment vertical="bottom" wrapText="1"/>
    </x:xf>
    <x:xf numFmtId="204" fontId="23" fillId="7" borderId="0" xfId="0" applyNumberFormat="1" applyFont="1" applyFill="1" applyBorder="1" applyAlignment="1">
      <x:alignment vertical="bottom" wrapText="1"/>
    </x:xf>
    <x:xf numFmtId="0" fontId="13" fillId="8" borderId="0" xfId="0" applyNumberFormat="1" applyFont="1" applyFill="1" applyBorder="1" applyAlignment="1">
      <x:alignment vertical="bottom" wrapText="1"/>
    </x:xf>
    <x:xf numFmtId="0" fontId="24" fillId="8" borderId="0" xfId="0" applyNumberFormat="1" applyFont="1" applyFill="1" applyBorder="1" applyAlignment="1">
      <x:alignment vertical="bottom" wrapText="1"/>
    </x:xf>
    <x:xf numFmtId="201" fontId="13" fillId="9" borderId="0" xfId="0" applyNumberFormat="1" applyFont="1" applyFill="1" applyBorder="1" applyAlignment="1">
      <x:alignment vertical="bottom" wrapText="1"/>
    </x:xf>
    <x:xf numFmtId="200" fontId="13" fillId="9" borderId="0" xfId="0" applyNumberFormat="1" applyFont="1" applyFill="1" applyBorder="1" applyAlignment="1">
      <x:alignment vertical="bottom" wrapText="1"/>
    </x:xf>
    <x:xf numFmtId="202" fontId="13" fillId="9" borderId="0" xfId="0" applyNumberFormat="1" applyFont="1" applyFill="1" applyBorder="1" applyAlignment="1">
      <x:alignment vertical="bottom" wrapText="1"/>
    </x:xf>
    <x:xf numFmtId="203" fontId="13" fillId="9" borderId="0" xfId="0" applyNumberFormat="1" applyFont="1" applyFill="1" applyBorder="1" applyAlignment="1">
      <x:alignment vertical="bottom" wrapText="1"/>
    </x:xf>
    <x:xf numFmtId="3" fontId="9" fillId="4" borderId="2" xfId="0" applyNumberFormat="1" applyFont="1" applyFill="1" applyBorder="1" applyAlignment="1">
      <x:alignment vertical="bottom" wrapText="0"/>
    </x:xf>
    <x:xf numFmtId="164" fontId="9" fillId="4" borderId="2" xfId="0" applyNumberFormat="1" applyFont="1" applyFill="1" applyBorder="1" applyAlignment="1">
      <x:alignment vertical="bottom" wrapText="0"/>
    </x:xf>
    <x:xf numFmtId="165" fontId="2" fillId="0" borderId="2" xfId="0" applyNumberFormat="1" applyFont="1" applyFill="1" applyBorder="1" applyAlignment="1">
      <x:alignment vertical="bottom" wrapText="0"/>
    </x:xf>
    <x:xf numFmtId="166" fontId="9" fillId="4" borderId="2" xfId="0" applyNumberFormat="1" applyFont="1" applyFill="1" applyBorder="1" applyAlignment="1">
      <x:alignment vertical="bottom" wrapText="0"/>
    </x:xf>
    <x:xf numFmtId="165" fontId="9" fillId="4" borderId="2" xfId="0" applyNumberFormat="1" applyFont="1" applyFill="1" applyBorder="1" applyAlignment="1">
      <x:alignment vertical="bottom" wrapText="0"/>
    </x:xf>
    <x:xf numFmtId="167" fontId="9" fillId="4" borderId="2" xfId="0" applyNumberFormat="1" applyFont="1" applyFill="1" applyBorder="1" applyAlignment="1">
      <x:alignment vertical="bottom" wrapText="0"/>
    </x:xf>
    <x:xf numFmtId="1" fontId="9" fillId="4" borderId="2" xfId="0" applyNumberFormat="1" applyFont="1" applyFill="1" applyBorder="1" applyAlignment="1">
      <x:alignment vertical="bottom" wrapText="0"/>
    </x:xf>
    <x:xf numFmtId="2" fontId="3" fillId="0" borderId="2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 applyAlignment="1">
      <x:alignment vertical="bottom" wrapText="1"/>
    </x:xf>
    <x:xf numFmtId="0" fontId="6" fillId="0" borderId="0" xfId="0" applyNumberFormat="1" applyFont="1" applyFill="1" applyBorder="1" applyAlignment="1">
      <x:alignment vertical="bottom" wrapText="1"/>
    </x:xf>
    <x:xf numFmtId="0" fontId="4" fillId="2" borderId="2" xfId="0" applyNumberFormat="1" applyFont="1" applyFill="1" applyBorder="1" applyAlignment="1">
      <x:alignment vertical="bottom" wrapText="1"/>
    </x:xf>
    <x:xf numFmtId="0" fontId="14" fillId="2" borderId="2" xfId="0" applyNumberFormat="1" applyFont="1" applyFill="1" applyBorder="1" applyAlignment="1">
      <x:alignment vertical="bottom" wrapText="1"/>
    </x:xf>
    <x:xf numFmtId="3" fontId="9" fillId="4" borderId="2" xfId="0" applyNumberFormat="1" applyFont="1" applyFill="1" applyBorder="1" applyAlignment="1">
      <x:alignment vertical="bottom" wrapText="1"/>
    </x:xf>
    <x:xf numFmtId="164" fontId="9" fillId="4" borderId="2" xfId="0" applyNumberFormat="1" applyFont="1" applyFill="1" applyBorder="1" applyAlignment="1">
      <x:alignment vertical="bottom" wrapText="1"/>
    </x:xf>
    <x:xf numFmtId="165" fontId="2" fillId="0" borderId="2" xfId="0" applyNumberFormat="1" applyFont="1" applyFill="1" applyBorder="1" applyAlignment="1">
      <x:alignment vertical="bottom" wrapText="1"/>
    </x:xf>
    <x:xf numFmtId="166" fontId="9" fillId="4" borderId="2" xfId="0" applyNumberFormat="1" applyFont="1" applyFill="1" applyBorder="1" applyAlignment="1">
      <x:alignment vertical="bottom" wrapText="1"/>
    </x:xf>
    <x:xf numFmtId="165" fontId="9" fillId="4" borderId="2" xfId="0" applyNumberFormat="1" applyFont="1" applyFill="1" applyBorder="1" applyAlignment="1">
      <x:alignment vertical="bottom" wrapText="1"/>
    </x:xf>
    <x:xf numFmtId="167" fontId="9" fillId="4" borderId="2" xfId="0" applyNumberFormat="1" applyFont="1" applyFill="1" applyBorder="1" applyAlignment="1">
      <x:alignment vertical="bottom" wrapText="1"/>
    </x:xf>
    <x:xf numFmtId="1" fontId="9" fillId="4" borderId="2" xfId="0" applyNumberFormat="1" applyFont="1" applyFill="1" applyBorder="1" applyAlignment="1">
      <x:alignment vertical="bottom" wrapText="1"/>
    </x:xf>
    <x:xf numFmtId="2" fontId="3" fillId="0" borderId="2" xfId="0" applyNumberFormat="1" applyFont="1" applyFill="1" applyBorder="1" applyAlignment="1">
      <x:alignment vertical="bottom" wrapText="1"/>
    </x:xf>
    <x:xf numFmtId="204" fontId="9" fillId="4" borderId="2" xfId="0" applyNumberFormat="1" applyFont="1" applyFill="1" applyBorder="1" applyAlignment="1">
      <x:alignment vertical="bottom" wrapText="1"/>
    </x:xf>
    <x:xf numFmtId="201" fontId="9" fillId="4" borderId="2" xfId="0" applyNumberFormat="1" applyFont="1" applyFill="1" applyBorder="1" applyAlignment="1">
      <x:alignment vertical="bottom" wrapText="1"/>
    </x:xf>
    <x:xf numFmtId="201" fontId="2" fillId="0" borderId="2" xfId="0" applyNumberFormat="1" applyFont="1" applyFill="1" applyBorder="1" applyAlignment="1">
      <x:alignment vertical="bottom" wrapText="1"/>
    </x:xf>
    <x:xf numFmtId="205" fontId="9" fillId="4" borderId="2" xfId="0" applyNumberFormat="1" applyFont="1" applyFill="1" applyBorder="1" applyAlignment="1">
      <x:alignment vertical="bottom" wrapText="1"/>
    </x:xf>
    <x:xf numFmtId="202" fontId="9" fillId="4" borderId="2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903b61da2d49ef" /><Relationship Type="http://schemas.openxmlformats.org/officeDocument/2006/relationships/theme" Target="/xl/theme/theme1.xml" Id="Rae093281c9024e43" /><Relationship Type="http://schemas.openxmlformats.org/officeDocument/2006/relationships/sharedStrings" Target="/xl/sharedStrings.xml" Id="R7117566ee9274c09" /><Relationship Type="http://schemas.openxmlformats.org/officeDocument/2006/relationships/worksheet" Target="/xl/worksheets/sheet1.xml" Id="R64c655e94a41407b" /><Relationship Type="http://schemas.openxmlformats.org/officeDocument/2006/relationships/worksheet" Target="/xl/worksheets/sheet2.xml" Id="Rd036d04e5d0149f3" /><Relationship Type="http://schemas.openxmlformats.org/officeDocument/2006/relationships/worksheet" Target="/xl/worksheets/sheet3.xml" Id="Rbb15ca5cbf05485a" /><Relationship Type="http://schemas.openxmlformats.org/officeDocument/2006/relationships/worksheet" Target="/xl/worksheets/sheet4.xml" Id="Rbd7d6b71dc4a4bc8" /><Relationship Type="http://schemas.openxmlformats.org/officeDocument/2006/relationships/worksheet" Target="/xl/worksheets/sheet5.xml" Id="R87cfe0bf3fc84370" /><Relationship Type="http://schemas.openxmlformats.org/officeDocument/2006/relationships/worksheet" Target="/xl/worksheets/sheet6.xml" Id="R7013ff082c73490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3" customWidth="1"/>
    <x:col min="2" max="2" width="44" hidden="0" customWidth="1"/>
    <x:col min="3" max="3" width="115" hidden="0" customWidth="1"/>
    <x:col min="4" max="26" width="8.710000038146973" customWidth="1"/>
  </x:cols>
  <x:sheetData>
    <x:row r="2">
      <x:c r="B2" s="54" t="s">
        <x:v>0</x:v>
      </x:c>
      <x:c r="C2" s="55"/>
      <x:c r="D2" s="55"/>
      <x:c r="E2" s="55"/>
      <x:c r="F2" s="55"/>
      <x:c r="G2" s="55"/>
      <x:c r="H2" s="55"/>
      <x:c r="I2" s="55"/>
      <x:c r="J2" s="55"/>
    </x:row>
    <x:row r="3">
      <x:c r="B3" s="54"/>
      <x:c r="C3" s="50"/>
      <x:c r="D3" s="55"/>
      <x:c r="E3" s="55"/>
      <x:c r="F3" s="55"/>
      <x:c r="G3" s="55"/>
      <x:c r="H3" s="55"/>
      <x:c r="I3" s="55"/>
      <x:c r="J3" s="55"/>
    </x:row>
    <x:row r="4">
      <x:c r="B4" s="56" t="s">
        <x:v>1</x:v>
      </x:c>
      <x:c r="C4" s="57"/>
      <x:c r="D4" s="55"/>
      <x:c r="E4" s="55"/>
      <x:c r="F4" s="55"/>
      <x:c r="G4" s="55"/>
      <x:c r="H4" s="55"/>
      <x:c r="I4" s="55"/>
      <x:c r="J4" s="55"/>
    </x:row>
    <x:row r="5" ht="48" customHeight="1">
      <x:c r="B5" s="54" t="s">
        <x:v>2</x:v>
      </x:c>
      <x:c r="C5" s="50" t="s">
        <x:v>3</x:v>
      </x:c>
      <x:c r="D5" s="55"/>
      <x:c r="E5" s="55"/>
      <x:c r="F5" s="55"/>
      <x:c r="G5" s="55"/>
      <x:c r="H5" s="55"/>
      <x:c r="I5" s="55"/>
      <x:c r="J5" s="55"/>
    </x:row>
    <x:row r="6" ht="48" customHeight="1">
      <x:c r="B6" s="54" t="s">
        <x:v>4</x:v>
      </x:c>
      <x:c r="C6" s="50" t="s">
        <x:v>5</x:v>
      </x:c>
      <x:c r="D6" s="55"/>
      <x:c r="E6" s="55"/>
      <x:c r="F6" s="55"/>
      <x:c r="G6" s="55"/>
      <x:c r="H6" s="55"/>
      <x:c r="I6" s="55"/>
      <x:c r="J6" s="55"/>
    </x:row>
    <x:row r="7" ht="48" customHeight="1">
      <x:c r="B7" s="54"/>
      <x:c r="C7" s="50"/>
      <x:c r="D7" s="55"/>
      <x:c r="E7" s="55"/>
      <x:c r="F7" s="55"/>
      <x:c r="G7" s="55"/>
      <x:c r="H7" s="55"/>
      <x:c r="I7" s="55"/>
      <x:c r="J7" s="55"/>
    </x:row>
    <x:row r="8" ht="48" customHeight="1">
      <x:c r="B8" s="56" t="s">
        <x:v>6</x:v>
      </x:c>
      <x:c r="C8" s="57"/>
      <x:c r="D8" s="55"/>
      <x:c r="E8" s="55"/>
      <x:c r="F8" s="55"/>
      <x:c r="G8" s="55"/>
      <x:c r="H8" s="55"/>
      <x:c r="I8" s="55"/>
      <x:c r="J8" s="55"/>
    </x:row>
    <x:row r="9" ht="48" customHeight="1">
      <x:c r="B9" s="54" t="s">
        <x:v>7</x:v>
      </x:c>
      <x:c r="C9" s="50" t="s">
        <x:v>8</x:v>
      </x:c>
      <x:c r="D9" s="55"/>
      <x:c r="E9" s="55"/>
      <x:c r="F9" s="55"/>
      <x:c r="G9" s="55"/>
      <x:c r="H9" s="55"/>
      <x:c r="I9" s="55"/>
      <x:c r="J9" s="55"/>
    </x:row>
    <x:row r="10" ht="48" customHeight="1">
      <x:c r="B10" s="54" t="s">
        <x:v>9</x:v>
      </x:c>
      <x:c r="C10" s="50" t="s">
        <x:v>10</x:v>
      </x:c>
      <x:c r="D10" s="55"/>
      <x:c r="E10" s="55"/>
      <x:c r="F10" s="55"/>
      <x:c r="G10" s="55"/>
      <x:c r="H10" s="55"/>
      <x:c r="I10" s="55"/>
      <x:c r="J10" s="55"/>
    </x:row>
    <x:row r="11" ht="48" customHeight="1">
      <x:c r="B11" s="54" t="s">
        <x:v>11</x:v>
      </x:c>
      <x:c r="C11" s="50" t="s">
        <x:v>12</x:v>
      </x:c>
      <x:c r="D11" s="55"/>
      <x:c r="E11" s="55"/>
      <x:c r="F11" s="55"/>
      <x:c r="G11" s="55"/>
      <x:c r="H11" s="55"/>
      <x:c r="I11" s="55"/>
      <x:c r="J11" s="55"/>
    </x:row>
    <x:row r="12" ht="48" customHeight="1">
      <x:c r="B12" s="54"/>
      <x:c r="C12" s="50"/>
      <x:c r="D12" s="55"/>
      <x:c r="E12" s="55"/>
      <x:c r="F12" s="55"/>
      <x:c r="G12" s="55"/>
      <x:c r="H12" s="55"/>
      <x:c r="I12" s="55"/>
      <x:c r="J12" s="55"/>
    </x:row>
    <x:row r="13" ht="48" customHeight="1">
      <x:c r="B13" s="56" t="s">
        <x:v>13</x:v>
      </x:c>
      <x:c r="C13" s="57"/>
      <x:c r="D13" s="55"/>
      <x:c r="E13" s="55"/>
      <x:c r="F13" s="55"/>
      <x:c r="G13" s="55"/>
      <x:c r="H13" s="55"/>
      <x:c r="I13" s="55"/>
      <x:c r="J13" s="55"/>
    </x:row>
    <x:row r="14" ht="48" customHeight="1">
      <x:c r="B14" s="54" t="s">
        <x:v>14</x:v>
      </x:c>
      <x:c r="C14" s="50" t="s">
        <x:v>15</x:v>
      </x:c>
      <x:c r="D14" s="55"/>
      <x:c r="E14" s="55"/>
      <x:c r="F14" s="55"/>
      <x:c r="G14" s="55"/>
      <x:c r="H14" s="55"/>
      <x:c r="I14" s="55"/>
      <x:c r="J14" s="55"/>
    </x:row>
    <x:row r="15" ht="48" customHeight="1">
      <x:c r="B15" s="54" t="s">
        <x:v>16</x:v>
      </x:c>
      <x:c r="C15" s="50" t="s">
        <x:v>17</x:v>
      </x:c>
      <x:c r="D15" s="55"/>
      <x:c r="E15" s="55"/>
      <x:c r="F15" s="55"/>
      <x:c r="G15" s="55"/>
      <x:c r="H15" s="55"/>
      <x:c r="I15" s="55"/>
      <x:c r="J15" s="55"/>
    </x:row>
    <x:row r="16" ht="48" customHeight="1">
      <x:c r="B16" s="54" t="s">
        <x:v>18</x:v>
      </x:c>
      <x:c r="C16" s="50" t="s">
        <x:v>19</x:v>
      </x:c>
      <x:c r="D16" s="55"/>
      <x:c r="E16" s="55"/>
      <x:c r="F16" s="55"/>
      <x:c r="G16" s="55"/>
      <x:c r="H16" s="55"/>
      <x:c r="I16" s="55"/>
      <x:c r="J16" s="55"/>
    </x:row>
    <x:row r="17" ht="48" customHeight="1">
      <x:c r="B17" s="54" t="s">
        <x:v>20</x:v>
      </x:c>
      <x:c r="C17" s="50" t="s">
        <x:v>21</x:v>
      </x:c>
      <x:c r="D17" s="55"/>
      <x:c r="E17" s="55"/>
      <x:c r="F17" s="55"/>
      <x:c r="G17" s="55"/>
      <x:c r="H17" s="55"/>
      <x:c r="I17" s="55"/>
      <x:c r="J17" s="55"/>
    </x:row>
    <x:row r="18" ht="48" customHeight="1">
      <x:c r="B18" s="54" t="str">
        <x:v>Шаг 5</x:v>
      </x:c>
      <x:c r="C18" s="50" t="str">
        <x:v>5. Метрики TCO: сравнение вариантов. Для лимита CFO используйте «Контроль»: $5000/мес на всё техническое первые 6 месяцев; годовое среднее — другая величина.</x:v>
      </x:c>
      <x:c r="D18" s="55"/>
      <x:c r="E18" s="55"/>
      <x:c r="F18" s="55"/>
      <x:c r="G18" s="55"/>
      <x:c r="H18" s="55"/>
      <x:c r="I18" s="55"/>
      <x:c r="J18" s="55"/>
    </x:row>
    <x:row r="19" ht="48" customHeight="1">
      <x:c r="B19" s="54"/>
      <x:c r="C19" s="50"/>
      <x:c r="D19" s="55"/>
      <x:c r="E19" s="55"/>
      <x:c r="F19" s="55"/>
      <x:c r="G19" s="55"/>
      <x:c r="H19" s="55"/>
      <x:c r="I19" s="55"/>
      <x:c r="J19" s="55"/>
    </x:row>
    <x:row r="20" ht="48" customHeight="1">
      <x:c r="B20" s="56" t="s">
        <x:v>22</x:v>
      </x:c>
      <x:c r="C20" s="57"/>
      <x:c r="D20" s="55"/>
      <x:c r="E20" s="55"/>
      <x:c r="F20" s="55"/>
      <x:c r="G20" s="55"/>
      <x:c r="H20" s="55"/>
      <x:c r="I20" s="55"/>
      <x:c r="J20" s="55"/>
    </x:row>
    <x:row r="21" ht="48" customHeight="1">
      <x:c r="B21" s="54" t="str">
        <x:v>Лимит CFO</x:v>
      </x:c>
      <x:c r="C21" s="50" t="str">
        <x:v>A6 с.1 имеет приоритет над примером $9000: лимит $5000. ФОТ и PSP-комиссия учитываются в TCO отдельно от технического лимита.</x:v>
      </x:c>
      <x:c r="D21" s="55"/>
      <x:c r="E21" s="55"/>
      <x:c r="F21" s="55"/>
      <x:c r="G21" s="55"/>
      <x:c r="H21" s="55"/>
      <x:c r="I21" s="55"/>
      <x:c r="J21" s="55"/>
    </x:row>
    <x:row r="22" ht="48" customHeight="1">
      <x:c r="B22" s="54" t="str">
        <x:v>Стоимость простоя</x:v>
      </x:c>
      <x:c r="C22" s="50" t="str">
        <x:v>Простой: $12000/мин — заявление инвестора, а не проверенный ущерб. Переключатель 0 в базе; при 1 — условная экспозиция 52,56 мин/год, без вероятности.</x:v>
      </x:c>
      <x:c r="D22" s="55"/>
      <x:c r="E22" s="55"/>
      <x:c r="F22" s="55"/>
      <x:c r="G22" s="55"/>
      <x:c r="H22" s="55"/>
      <x:c r="I22" s="55"/>
      <x:c r="J22" s="55"/>
    </x:row>
    <x:row r="23" ht="48" customHeight="1">
      <x:c r="B23" s="54" t="s">
        <x:v>23</x:v>
      </x:c>
      <x:c r="C23" s="50" t="s">
        <x:v>24</x:v>
      </x:c>
      <x:c r="D23" s="55"/>
      <x:c r="E23" s="55"/>
      <x:c r="F23" s="55"/>
      <x:c r="G23" s="55"/>
      <x:c r="H23" s="55"/>
      <x:c r="I23" s="55"/>
      <x:c r="J23" s="55"/>
    </x:row>
    <x:row r="24" ht="48" customHeight="1">
      <x:c r="B24" s="54" t="str">
        <x:v>Сопоставимость вариантов</x:v>
      </x:c>
      <x:c r="C24" s="50" t="str">
        <x:v>Полный TCO содержит одинаковые PSP-комиссии. Для выбора также сравните TCO без PSP и стоимость ошибки на листе «Контроль».</x:v>
      </x:c>
      <x:c r="D24" s="55"/>
      <x:c r="E24" s="55"/>
      <x:c r="F24" s="55"/>
      <x:c r="G24" s="55"/>
      <x:c r="H24" s="55"/>
      <x:c r="I24" s="55"/>
      <x:c r="J24" s="55"/>
    </x:row>
    <x:row r="25" ht="48" customHeight="1">
      <x:c r="B25" s="54" t="str">
        <x:v>Разовые затраты</x:v>
      </x:c>
      <x:c r="C25" s="50" t="str">
        <x:v>Разовые затраты: годы 2–5 вручную обнулены. В Год 3 отдельно заложена выделяемая миграция. Эти исключения помечены синим/жёлтым.</x:v>
      </x:c>
      <x:c r="D25" s="55"/>
      <x:c r="E25" s="55"/>
      <x:c r="F25" s="55"/>
      <x:c r="G25" s="55"/>
      <x:c r="H25" s="55"/>
      <x:c r="I25" s="55"/>
      <x:c r="J25" s="55"/>
    </x:row>
    <x:row r="26" ht="48" customHeight="1">
      <x:c r="B26" s="54" t="str">
        <x:v>Фонд оплаты труда</x:v>
      </x:c>
      <x:c r="C26" s="50" t="str">
        <x:v>ФОТ включает разработку, SRE, сопровождение и архитектуру. Стартовые 6/8/18 FTE; ставки и рост — плановые допущения, не рынок и не предложения поставщиков.</x:v>
      </x:c>
      <x:c r="D26" s="55"/>
      <x:c r="E26" s="55"/>
      <x:c r="F26" s="55"/>
      <x:c r="G26" s="55"/>
      <x:c r="H26" s="55"/>
      <x:c r="I26" s="55"/>
      <x:c r="J26" s="55"/>
    </x:row>
    <x:row r="27" ht="15.75" customHeight="1">
      <x:c r="B27" s="54"/>
      <x:c r="C27" s="50"/>
      <x:c r="D27" s="55"/>
      <x:c r="E27" s="55"/>
      <x:c r="F27" s="55"/>
      <x:c r="G27" s="55"/>
      <x:c r="H27" s="55"/>
      <x:c r="I27" s="55"/>
      <x:c r="J27" s="55"/>
    </x:row>
    <x:row r="28" ht="30" customHeight="1">
      <x:c r="B28" s="53" t="str">
        <x:v>Приложение А: инструкция к TCO; Б: FMEA, не шаблон ADR/Vision. Образцы исправлены по A6. Синие/жёлтые ячейки — ввод, чёрные — формулы, зелёные — ссылки.</x:v>
      </x:c>
      <x:c r="C28" s="55"/>
      <x:c r="D28" s="55"/>
      <x:c r="E28" s="55"/>
      <x:c r="F28" s="55"/>
      <x:c r="G28" s="55"/>
      <x:c r="H28" s="55"/>
      <x:c r="I28" s="55"/>
      <x:c r="J28" s="55"/>
    </x:row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28:C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ColWidth="14.430000305175781" defaultRowHeight="15"/>
  <x:cols>
    <x:col min="1" max="1" width="3" customWidth="1"/>
    <x:col min="2" max="2" width="46" hidden="0" customWidth="1"/>
    <x:col min="3" max="7" width="15" customWidth="1"/>
    <x:col min="8" max="8" width="80" hidden="0" customWidth="1"/>
    <x:col min="9" max="26" width="8.710000038146973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2">
      <x:c r="B2" s="193" t="s">
        <x:v>25</x:v>
      </x:c>
      <x:c r="C2" s="55"/>
      <x:c r="D2" s="55"/>
      <x:c r="E2" s="55"/>
      <x:c r="F2" s="55"/>
      <x:c r="G2" s="55"/>
      <x:c r="H2" s="55"/>
    </x:row>
    <x:row r="3">
      <x:c r="B3" s="194" t="s">
        <x:v>26</x:v>
      </x:c>
      <x:c r="C3" s="55"/>
      <x:c r="D3" s="55"/>
      <x:c r="E3" s="55"/>
      <x:c r="F3" s="55"/>
      <x:c r="G3" s="55"/>
      <x:c r="H3" s="55"/>
    </x:row>
    <x:row r="4">
      <x:c r="B4" s="55"/>
      <x:c r="C4" s="55"/>
      <x:c r="D4" s="55"/>
      <x:c r="E4" s="55"/>
      <x:c r="F4" s="55"/>
      <x:c r="G4" s="55"/>
      <x:c r="H4" s="55"/>
    </x:row>
    <x:row r="5">
      <x:c r="B5" s="195" t="s">
        <x:v>27</x:v>
      </x:c>
      <x:c r="C5" s="196"/>
      <x:c r="D5" s="196"/>
      <x:c r="E5" s="196"/>
      <x:c r="F5" s="196"/>
      <x:c r="G5" s="196"/>
      <x:c r="H5" s="196"/>
    </x:row>
    <x:row r="6" ht="45" customHeight="1">
      <x:c r="B6" s="71" t="s">
        <x:v>28</x:v>
      </x:c>
      <x:c r="C6" s="71" t="s">
        <x:v>29</x:v>
      </x:c>
      <x:c r="D6" s="71" t="s">
        <x:v>30</x:v>
      </x:c>
      <x:c r="E6" s="71" t="s">
        <x:v>31</x:v>
      </x:c>
      <x:c r="F6" s="71" t="s">
        <x:v>32</x:v>
      </x:c>
      <x:c r="G6" s="71" t="s">
        <x:v>33</x:v>
      </x:c>
      <x:c r="H6" s="71" t="s">
        <x:v>34</x:v>
      </x:c>
    </x:row>
    <x:row r="7" ht="45" customHeight="1">
      <x:c r="B7" s="124" t="s">
        <x:v>35</x:v>
      </x:c>
      <x:c r="C7" s="205" t="n">
        <x:v>1000000</x:v>
      </x:c>
      <x:c r="D7" s="205" t="n">
        <x:v>2000000</x:v>
      </x:c>
      <x:c r="E7" s="205" t="n">
        <x:v>4000000</x:v>
      </x:c>
      <x:c r="F7" s="205" t="n">
        <x:v>7000000</x:v>
      </x:c>
      <x:c r="G7" s="205" t="n">
        <x:v>10000000</x:v>
      </x:c>
      <x:c r="H7" s="85" t="str">
        <x:v>Кейс: &gt;1М к 12 месяцам. 2/4/7/10М в годы 2–5 — прогноз SA-01, не факт.</x:v>
      </x:c>
    </x:row>
    <x:row r="8" ht="45" customHeight="1">
      <x:c r="B8" s="124" t="s">
        <x:v>36</x:v>
      </x:c>
      <x:c r="C8" s="205" t="n">
        <x:v>800000</x:v>
      </x:c>
      <x:c r="D8" s="205" t="n">
        <x:v>2500000</x:v>
      </x:c>
      <x:c r="E8" s="205" t="n">
        <x:v>6000000</x:v>
      </x:c>
      <x:c r="F8" s="205" t="n">
        <x:v>12000000</x:v>
      </x:c>
      <x:c r="G8" s="205" t="n">
        <x:v>20000000</x:v>
      </x:c>
      <x:c r="H8" s="85" t="str">
        <x:v>SA-02: 0,8/2,5/6/12/20М заказов; только 2000/мес первые 6 мес, остальное во 2-м полугодии.</x:v>
      </x:c>
    </x:row>
    <x:row r="9" ht="45" customHeight="1">
      <x:c r="B9" s="124" t="s">
        <x:v>37</x:v>
      </x:c>
      <x:c r="C9" s="206" t="n">
        <x:v>25</x:v>
      </x:c>
      <x:c r="D9" s="206" t="n">
        <x:v>25</x:v>
      </x:c>
      <x:c r="E9" s="206" t="n">
        <x:v>25</x:v>
      </x:c>
      <x:c r="F9" s="206" t="n">
        <x:v>25</x:v>
      </x:c>
      <x:c r="G9" s="206" t="n">
        <x:v>25</x:v>
      </x:c>
      <x:c r="H9" s="85" t="str">
        <x:v>SA-03: $25 в эквиваленте USD, одинаковый чек; расчёт в NGN/KES, FX внутри 2,2% PSP.</x:v>
      </x:c>
    </x:row>
    <x:row r="10" ht="45" customHeight="1">
      <x:c r="B10" s="133" t="s">
        <x:v>38</x:v>
      </x:c>
      <x:c r="C10" s="207" t="n">
        <x:f t="shared" ref="C10:G10" si="1">C8*C9</x:f>
        <x:v>20000000</x:v>
      </x:c>
      <x:c r="D10" s="207" t="n">
        <x:f t="shared" si="1">D8*D9</x:f>
        <x:v>62500000</x:v>
      </x:c>
      <x:c r="E10" s="207" t="n">
        <x:f t="shared" si="1">E8*E9</x:f>
        <x:v>150000000</x:v>
      </x:c>
      <x:c r="F10" s="207" t="n">
        <x:f t="shared" si="1">F8*F9</x:f>
        <x:v>300000000</x:v>
      </x:c>
      <x:c r="G10" s="207" t="n">
        <x:f t="shared" si="1">G8*G9</x:f>
        <x:v>500000000</x:v>
      </x:c>
      <x:c r="H10" s="85" t="s">
        <x:v>39</x:v>
      </x:c>
    </x:row>
    <x:row r="11" ht="45" customHeight="1">
      <x:c r="B11" s="55"/>
      <x:c r="C11" s="55"/>
      <x:c r="D11" s="55"/>
      <x:c r="E11" s="55"/>
      <x:c r="F11" s="55"/>
      <x:c r="G11" s="55"/>
      <x:c r="H11" s="55"/>
    </x:row>
    <x:row r="12" ht="45" customHeight="1">
      <x:c r="B12" s="195" t="s">
        <x:v>40</x:v>
      </x:c>
      <x:c r="C12" s="196"/>
      <x:c r="D12" s="196"/>
      <x:c r="E12" s="196"/>
      <x:c r="F12" s="196"/>
      <x:c r="G12" s="196"/>
      <x:c r="H12" s="196"/>
    </x:row>
    <x:row r="13" ht="45" customHeight="1">
      <x:c r="B13" s="71" t="s">
        <x:v>41</x:v>
      </x:c>
      <x:c r="C13" s="71" t="s">
        <x:v>42</x:v>
      </x:c>
      <x:c r="D13" s="71"/>
      <x:c r="E13" s="71"/>
      <x:c r="F13" s="71"/>
      <x:c r="G13" s="71"/>
      <x:c r="H13" s="71" t="s">
        <x:v>34</x:v>
      </x:c>
    </x:row>
    <x:row r="14" ht="45" customHeight="1">
      <x:c r="B14" s="124" t="s">
        <x:v>43</x:v>
      </x:c>
      <x:c r="C14" s="200" t="n">
        <x:v>0.05</x:v>
      </x:c>
      <x:c r="D14" s="55"/>
      <x:c r="E14" s="55"/>
      <x:c r="F14" s="55"/>
      <x:c r="G14" s="55"/>
      <x:c r="H14" s="85" t="s">
        <x:v>44</x:v>
      </x:c>
    </x:row>
    <x:row r="15" ht="45" customHeight="1">
      <x:c r="B15" s="124" t="s">
        <x:v>45</x:v>
      </x:c>
      <x:c r="C15" s="200" t="n">
        <x:v>0.3</x:v>
      </x:c>
      <x:c r="D15" s="55"/>
      <x:c r="E15" s="55"/>
      <x:c r="F15" s="55"/>
      <x:c r="G15" s="55"/>
      <x:c r="H15" s="85" t="str">
        <x:v>SA-04: ФОТ +30%/год = ставки +8% и FTE +20,37%; это общий фонд, не только зарплата.</x:v>
      </x:c>
    </x:row>
    <x:row r="16" ht="45" customHeight="1">
      <x:c r="B16" s="124" t="s">
        <x:v>46</x:v>
      </x:c>
      <x:c r="C16" s="200" t="n">
        <x:v>0.2</x:v>
      </x:c>
      <x:c r="D16" s="55"/>
      <x:c r="E16" s="55"/>
      <x:c r="F16" s="55"/>
      <x:c r="G16" s="55"/>
      <x:c r="H16" s="85" t="s">
        <x:v>47</x:v>
      </x:c>
    </x:row>
    <x:row r="17" ht="45" customHeight="1">
      <x:c r="B17" s="124" t="s">
        <x:v>48</x:v>
      </x:c>
      <x:c r="C17" s="200" t="n">
        <x:v>0.1</x:v>
      </x:c>
      <x:c r="D17" s="55"/>
      <x:c r="E17" s="55"/>
      <x:c r="F17" s="55"/>
      <x:c r="G17" s="55"/>
      <x:c r="H17" s="85" t="s">
        <x:v>49</x:v>
      </x:c>
    </x:row>
    <x:row r="18" ht="45" customHeight="1">
      <x:c r="B18" s="124" t="s">
        <x:v>50</x:v>
      </x:c>
      <x:c r="C18" s="206" t="n">
        <x:v>5000</x:v>
      </x:c>
      <x:c r="D18" s="55"/>
      <x:c r="E18" s="55"/>
      <x:c r="F18" s="55"/>
      <x:c r="G18" s="55"/>
      <x:c r="H18" s="85" t="str">
        <x:v>A6, с.1: $5000/мес первые 6 мес, ВСЕ регулярные технические расходы. $9000 из примера отвергнуто.</x:v>
      </x:c>
    </x:row>
    <x:row r="19" ht="45" customHeight="1">
      <x:c r="B19" s="124" t="s">
        <x:v>51</x:v>
      </x:c>
      <x:c r="C19" s="206" t="n">
        <x:v>12000</x:v>
      </x:c>
      <x:c r="D19" s="55"/>
      <x:c r="E19" s="55"/>
      <x:c r="F19" s="55"/>
      <x:c r="G19" s="55"/>
      <x:c r="H19" s="85" t="str">
        <x:v>A1, с.2; A7: неподтверждённая оценка инвестора. Не ожидаемый убыток.</x:v>
      </x:c>
    </x:row>
    <x:row r="20" ht="45" customHeight="1">
      <x:c r="B20" s="124" t="s">
        <x:v>52</x:v>
      </x:c>
      <x:c r="C20" s="208" t="n">
        <x:v>0.9999</x:v>
      </x:c>
      <x:c r="D20" s="55"/>
      <x:c r="E20" s="55"/>
      <x:c r="F20" s="55"/>
      <x:c r="G20" s="55"/>
      <x:c r="H20" s="85" t="s">
        <x:v>53</x:v>
      </x:c>
    </x:row>
    <x:row r="21" ht="45" customHeight="1">
      <x:c r="B21" s="124" t="s">
        <x:v>54</x:v>
      </x:c>
      <x:c r="C21" s="209" t="n">
        <x:v>0</x:v>
      </x:c>
      <x:c r="D21" s="55"/>
      <x:c r="E21" s="55"/>
      <x:c r="F21" s="55"/>
      <x:c r="G21" s="55"/>
      <x:c r="H21" s="85" t="str">
        <x:v>0: риск простоя не включён в базовый TCO; 1 показывает условный стресс, не математическое ожидание.</x:v>
      </x:c>
    </x:row>
    <x:row r="22" ht="45" customHeight="1">
      <x:c r="B22" s="55"/>
      <x:c r="C22" s="55"/>
      <x:c r="D22" s="55"/>
      <x:c r="E22" s="55"/>
      <x:c r="F22" s="55"/>
      <x:c r="G22" s="55"/>
      <x:c r="H22" s="55"/>
    </x:row>
    <x:row r="23" ht="45" customHeight="1">
      <x:c r="B23" s="195" t="s">
        <x:v>55</x:v>
      </x:c>
      <x:c r="C23" s="196"/>
      <x:c r="D23" s="196"/>
      <x:c r="E23" s="196"/>
      <x:c r="F23" s="196"/>
      <x:c r="G23" s="196"/>
      <x:c r="H23" s="196"/>
    </x:row>
    <x:row r="24" ht="45" customHeight="1">
      <x:c r="B24" s="71" t="s">
        <x:v>56</x:v>
      </x:c>
      <x:c r="C24" s="71" t="s">
        <x:v>29</x:v>
      </x:c>
      <x:c r="D24" s="71" t="s">
        <x:v>30</x:v>
      </x:c>
      <x:c r="E24" s="71" t="s">
        <x:v>31</x:v>
      </x:c>
      <x:c r="F24" s="71" t="s">
        <x:v>32</x:v>
      </x:c>
      <x:c r="G24" s="71" t="s">
        <x:v>33</x:v>
      </x:c>
      <x:c r="H24" s="71" t="s">
        <x:v>57</x:v>
      </x:c>
    </x:row>
    <x:row r="25" ht="45" customHeight="1">
      <x:c r="B25" s="124" t="s">
        <x:v>58</x:v>
      </x:c>
      <x:c r="C25" s="204">
        <x:v>1.0</x:v>
      </x:c>
      <x:c r="D25" s="204">
        <x:v>1.0</x:v>
      </x:c>
      <x:c r="E25" s="204">
        <x:v>1.0</x:v>
      </x:c>
      <x:c r="F25" s="204">
        <x:v>1.0</x:v>
      </x:c>
      <x:c r="G25" s="204">
        <x:v>1.0</x:v>
      </x:c>
      <x:c r="H25" s="85" t="s">
        <x:v>59</x:v>
      </x:c>
    </x:row>
    <x:row r="26" ht="45" customHeight="1">
      <x:c r="B26" s="124" t="s">
        <x:v>60</x:v>
      </x:c>
      <x:c r="C26" s="204">
        <x:v>1.0</x:v>
      </x:c>
      <x:c r="D26" s="204" t="n">
        <x:f t="shared" ref="D26:G26" si="2">C26*(1+$C$14)</x:f>
        <x:v>1.05</x:v>
      </x:c>
      <x:c r="E26" s="204" t="n">
        <x:f t="shared" si="2">D26*(1+$C$14)</x:f>
        <x:v>1.1025</x:v>
      </x:c>
      <x:c r="F26" s="204" t="n">
        <x:f t="shared" si="2">E26*(1+$C$14)</x:f>
        <x:v>1.1576250000000001</x:v>
      </x:c>
      <x:c r="G26" s="204" t="n">
        <x:f t="shared" si="2">F26*(1+$C$14)</x:f>
        <x:v>1.2155062500000002</x:v>
      </x:c>
      <x:c r="H26" s="85" t="s">
        <x:v>61</x:v>
      </x:c>
    </x:row>
    <x:row r="27" ht="45" customHeight="1">
      <x:c r="B27" s="124" t="s">
        <x:v>62</x:v>
      </x:c>
      <x:c r="C27" s="204">
        <x:v>1.0</x:v>
      </x:c>
      <x:c r="D27" s="204" t="n">
        <x:f t="shared" ref="D27:G27" si="3">C27*(1+$C$15)</x:f>
        <x:v>1.3</x:v>
      </x:c>
      <x:c r="E27" s="204" t="n">
        <x:f t="shared" si="3">D27*(1+$C$15)</x:f>
        <x:v>1.6900000000000002</x:v>
      </x:c>
      <x:c r="F27" s="204" t="n">
        <x:f t="shared" si="3">E27*(1+$C$15)</x:f>
        <x:v>2.1970000000000005</x:v>
      </x:c>
      <x:c r="G27" s="204" t="n">
        <x:f t="shared" si="3">F27*(1+$C$15)</x:f>
        <x:v>2.856100000000001</x:v>
      </x:c>
      <x:c r="H27" s="85" t="s">
        <x:v>63</x:v>
      </x:c>
    </x:row>
    <x:row r="28" ht="45" customHeight="1">
      <x:c r="B28" s="124" t="s">
        <x:v>64</x:v>
      </x:c>
      <x:c r="C28" s="204" t="n">
        <x:f t="shared" ref="C28:G28" si="4">C7/$C$7</x:f>
        <x:v>1</x:v>
      </x:c>
      <x:c r="D28" s="204" t="n">
        <x:f t="shared" si="4">D7/$C$7</x:f>
        <x:v>2</x:v>
      </x:c>
      <x:c r="E28" s="204" t="n">
        <x:f t="shared" si="4">E7/$C$7</x:f>
        <x:v>4</x:v>
      </x:c>
      <x:c r="F28" s="204" t="n">
        <x:f t="shared" si="4">F7/$C$7</x:f>
        <x:v>7</x:v>
      </x:c>
      <x:c r="G28" s="204" t="n">
        <x:f t="shared" si="4">G7/$C$7</x:f>
        <x:v>10</x:v>
      </x:c>
      <x:c r="H28" s="85" t="s">
        <x:v>65</x:v>
      </x:c>
    </x:row>
    <x:row r="29" ht="45" customHeight="1">
      <x:c r="B29" s="124" t="s">
        <x:v>66</x:v>
      </x:c>
      <x:c r="C29" s="204" t="n">
        <x:f t="shared" ref="C29:G29" si="5">C8/$C$8</x:f>
        <x:v>1</x:v>
      </x:c>
      <x:c r="D29" s="204" t="n">
        <x:f t="shared" si="5">D8/$C$8</x:f>
        <x:v>3.125</x:v>
      </x:c>
      <x:c r="E29" s="204" t="n">
        <x:f t="shared" si="5">E8/$C$8</x:f>
        <x:v>7.5</x:v>
      </x:c>
      <x:c r="F29" s="204" t="n">
        <x:f t="shared" si="5">F8/$C$8</x:f>
        <x:v>15</x:v>
      </x:c>
      <x:c r="G29" s="204" t="n">
        <x:f t="shared" si="5">G8/$C$8</x:f>
        <x:v>25</x:v>
      </x:c>
      <x:c r="H29" s="85" t="s">
        <x:v>67</x:v>
      </x:c>
    </x:row>
    <x:row r="30" ht="45" customHeight="1">
      <x:c r="B30" s="124" t="s">
        <x:v>68</x:v>
      </x:c>
      <x:c r="C30" s="204" t="n">
        <x:f t="shared" ref="C30:G30" si="6">C10/$C$10</x:f>
        <x:v>1</x:v>
      </x:c>
      <x:c r="D30" s="204" t="n">
        <x:f t="shared" si="6">D10/$C$10</x:f>
        <x:v>3.125</x:v>
      </x:c>
      <x:c r="E30" s="204" t="n">
        <x:f t="shared" si="6">E10/$C$10</x:f>
        <x:v>7.5</x:v>
      </x:c>
      <x:c r="F30" s="204" t="n">
        <x:f t="shared" si="6">F10/$C$10</x:f>
        <x:v>15</x:v>
      </x:c>
      <x:c r="G30" s="204" t="n">
        <x:f t="shared" si="6">G10/$C$10</x:f>
        <x:v>25</x:v>
      </x:c>
      <x:c r="H30" s="85" t="s">
        <x:v>69</x:v>
      </x:c>
    </x:row>
    <x:row r="31" ht="45" customHeight="1">
      <x:c r="B31" s="55"/>
      <x:c r="C31" s="55"/>
      <x:c r="D31" s="55"/>
      <x:c r="E31" s="55"/>
      <x:c r="F31" s="55"/>
      <x:c r="G31" s="55"/>
      <x:c r="H31" s="55"/>
    </x:row>
    <x:row r="32" ht="45" customHeight="1">
      <x:c r="B32" s="85" t="str">
        <x:v>Assumptions: драйвер «пользователи» — линейный прокси мощности A/B; C заранее закупает мощность (фикс/инфляция). Не доказательство RPS или SLO.</x:v>
      </x:c>
      <x:c r="C32" s="55"/>
      <x:c r="D32" s="55"/>
      <x:c r="E32" s="55"/>
      <x:c r="F32" s="55"/>
      <x:c r="G32" s="55"/>
      <x:c r="H32" s="55"/>
    </x:row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B32:H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ColWidth="14.430000305175781" defaultRowHeight="15"/>
  <x:cols>
    <x:col min="1" max="1" width="3" customWidth="1"/>
    <x:col min="2" max="2" width="49" hidden="0" customWidth="1"/>
    <x:col min="3" max="3" width="15" hidden="0" customWidth="1"/>
    <x:col min="4" max="4" width="16" hidden="0" customWidth="1"/>
    <x:col min="5" max="10" width="14" customWidth="1"/>
    <x:col min="11" max="11" width="10" hidden="0" customWidth="1"/>
    <x:col min="12" max="12" width="66" hidden="0" customWidth="1"/>
    <x:col min="13" max="26" width="8.710000038146973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2" ht="36" customHeight="1">
      <x:c r="B2" s="119" t="str">
        <x:v>A. Модульный монолит — TCO на 5 лет (копия приложенного шаблона)</x:v>
      </x:c>
      <x:c r="C2" s="120"/>
      <x:c r="D2" s="120"/>
      <x:c r="E2" s="120"/>
      <x:c r="F2" s="120"/>
      <x:c r="G2" s="120"/>
      <x:c r="H2" s="120"/>
      <x:c r="I2" s="120"/>
      <x:c r="J2" s="120"/>
      <x:c r="K2" s="120"/>
      <x:c r="L2" s="120"/>
    </x:row>
    <x:row r="3" ht="36" customHeight="1">
      <x:c r="B3" s="121" t="str">
        <x:v>База Года 1 и 6 стандартных драйверов. Разовые исключения Годов 2–5 — жёлтые; прочие годы вычисляет шаблон.</x:v>
      </x:c>
      <x:c r="C3" s="120"/>
      <x:c r="D3" s="120"/>
      <x:c r="E3" s="120"/>
      <x:c r="F3" s="120"/>
      <x:c r="G3" s="120"/>
      <x:c r="H3" s="120"/>
      <x:c r="I3" s="120"/>
      <x:c r="J3" s="120"/>
      <x:c r="K3" s="120"/>
      <x:c r="L3" s="120"/>
    </x:row>
    <x:row r="4">
      <x:c r="B4" s="120"/>
      <x:c r="C4" s="120"/>
      <x:c r="D4" s="120"/>
      <x:c r="E4" s="120"/>
      <x:c r="F4" s="120"/>
      <x:c r="G4" s="120"/>
      <x:c r="H4" s="120"/>
      <x:c r="I4" s="120"/>
      <x:c r="J4" s="120"/>
      <x:c r="K4" s="120"/>
      <x:c r="L4" s="120"/>
    </x:row>
    <x:row r="5" ht="40" customHeight="1">
      <x:c r="B5" s="104" t="s">
        <x:v>70</x:v>
      </x:c>
      <x:c r="C5" s="104" t="s">
        <x:v>71</x:v>
      </x:c>
      <x:c r="D5" s="104" t="s">
        <x:v>72</x:v>
      </x:c>
      <x:c r="E5" s="104" t="s">
        <x:v>29</x:v>
      </x:c>
      <x:c r="F5" s="104" t="s">
        <x:v>30</x:v>
      </x:c>
      <x:c r="G5" s="104" t="s">
        <x:v>31</x:v>
      </x:c>
      <x:c r="H5" s="104" t="s">
        <x:v>32</x:v>
      </x:c>
      <x:c r="I5" s="104" t="s">
        <x:v>33</x:v>
      </x:c>
      <x:c r="J5" s="104" t="s">
        <x:v>73</x:v>
      </x:c>
      <x:c r="K5" s="104" t="s">
        <x:v>74</x:v>
      </x:c>
      <x:c r="L5" s="104" t="s">
        <x:v>34</x:v>
      </x:c>
    </x:row>
    <x:row r="6" ht="40" customHeight="1">
      <x:c r="B6" s="122" t="s">
        <x:v>75</x:v>
      </x:c>
      <x:c r="C6" s="123"/>
      <x:c r="D6" s="123"/>
      <x:c r="E6" s="123"/>
      <x:c r="F6" s="123"/>
      <x:c r="G6" s="123"/>
      <x:c r="H6" s="123"/>
      <x:c r="I6" s="123"/>
      <x:c r="J6" s="123"/>
      <x:c r="K6" s="123"/>
      <x:c r="L6" s="123"/>
    </x:row>
    <x:row r="7" ht="40" customHeight="1">
      <x:c r="B7" s="124" t="s">
        <x:v>76</x:v>
      </x:c>
      <x:c r="C7" s="125" t="str">
        <x:v>пользователи</x:v>
      </x:c>
      <x:c r="D7" s="126" t="n">
        <x:v>27000</x:v>
      </x:c>
      <x:c r="E7" s="149" t="n">
        <x:f t="array" ref="E7">IF($D7="","",$D7*INDEX('Допущения'!$C$25:$G$30,MATCH($C7,'Допущения'!$B$25:$B$30,0),1))</x:f>
        <x:v>27000</x:v>
      </x:c>
      <x:c r="F7" s="149" t="n">
        <x:f t="array" ref="F7">IF($D7="","",$D7*INDEX('Допущения'!$C$25:$G$30,MATCH($C7,'Допущения'!$B$25:$B$30,0),2))</x:f>
        <x:v>54000</x:v>
      </x:c>
      <x:c r="G7" s="149" t="n">
        <x:f t="array" ref="G7">IF($D7="","",$D7*INDEX('Допущения'!$C$25:$G$30,MATCH($C7,'Допущения'!$B$25:$B$30,0),3))</x:f>
        <x:v>108000</x:v>
      </x:c>
      <x:c r="H7" s="149" t="n">
        <x:f t="array" ref="H7">IF($D7="","",$D7*INDEX('Допущения'!$C$25:$G$30,MATCH($C7,'Допущения'!$B$25:$B$30,0),4))</x:f>
        <x:v>189000</x:v>
      </x:c>
      <x:c r="I7" s="149" t="n">
        <x:f t="array" ref="I7">IF($D7="","",$D7*INDEX('Допущения'!$C$25:$G$30,MATCH($C7,'Допущения'!$B$25:$B$30,0),5))</x:f>
        <x:v>270000</x:v>
      </x:c>
      <x:c r="J7" s="149" t="n">
        <x:f t="shared" ref="J7:J14" si="1">SUM(E7:I7)</x:f>
        <x:v>648000</x:v>
      </x:c>
      <x:c r="K7" s="158"/>
      <x:c r="L7" s="107" t="str">
        <x:v>SA-09: 900/мес первые 6 мес; база года × 2.5. Годы 2–5: линейный прокси пользователей. Quote/нагрузочный тест обязательны.</x:v>
      </x:c>
    </x:row>
    <x:row r="8" ht="40" customHeight="1">
      <x:c r="B8" s="124" t="str">
        <x:v>БД: compute/storage (без лицензии Oracle)</x:v>
      </x:c>
      <x:c r="C8" s="125" t="str">
        <x:v>пользователи</x:v>
      </x:c>
      <x:c r="D8" s="126" t="n">
        <x:v>25500</x:v>
      </x:c>
      <x:c r="E8" s="149" t="n">
        <x:f t="array" ref="E8">IF($D8="","",$D8*INDEX('Допущения'!$C$25:$G$30,MATCH($C8,'Допущения'!$B$25:$B$30,0),1))</x:f>
        <x:v>25500</x:v>
      </x:c>
      <x:c r="F8" s="149" t="n">
        <x:f t="array" ref="F8">IF($D8="","",$D8*INDEX('Допущения'!$C$25:$G$30,MATCH($C8,'Допущения'!$B$25:$B$30,0),2))</x:f>
        <x:v>51000</x:v>
      </x:c>
      <x:c r="G8" s="149" t="n">
        <x:f t="array" ref="G8">IF($D8="","",$D8*INDEX('Допущения'!$C$25:$G$30,MATCH($C8,'Допущения'!$B$25:$B$30,0),3))</x:f>
        <x:v>102000</x:v>
      </x:c>
      <x:c r="H8" s="149" t="n">
        <x:f t="array" ref="H8">IF($D8="","",$D8*INDEX('Допущения'!$C$25:$G$30,MATCH($C8,'Допущения'!$B$25:$B$30,0),4))</x:f>
        <x:v>178500</x:v>
      </x:c>
      <x:c r="I8" s="149" t="n">
        <x:f t="array" ref="I8">IF($D8="","",$D8*INDEX('Допущения'!$C$25:$G$30,MATCH($C8,'Допущения'!$B$25:$B$30,0),5))</x:f>
        <x:v>255000</x:v>
      </x:c>
      <x:c r="J8" s="149" t="n">
        <x:f t="shared" si="1">SUM(E8:I8)</x:f>
        <x:v>612000</x:v>
      </x:c>
      <x:c r="K8" s="158"/>
      <x:c r="L8" s="107" t="str">
        <x:v>SA-09: 850/мес первые 6 мес; база года × 2.5. Годы 2–5: линейный прокси пользователей. Quote/нагрузочный тест обязательны.</x:v>
      </x:c>
    </x:row>
    <x:row r="9" ht="40" customHeight="1">
      <x:c r="B9" s="124" t="s">
        <x:v>77</x:v>
      </x:c>
      <x:c r="C9" s="125" t="str">
        <x:v>пользователи</x:v>
      </x:c>
      <x:c r="D9" s="126" t="n">
        <x:v>4500</x:v>
      </x:c>
      <x:c r="E9" s="149" t="n">
        <x:f t="array" ref="E9">IF($D9="","",$D9*INDEX('Допущения'!$C$25:$G$30,MATCH($C9,'Допущения'!$B$25:$B$30,0),1))</x:f>
        <x:v>4500</x:v>
      </x:c>
      <x:c r="F9" s="149" t="n">
        <x:f t="array" ref="F9">IF($D9="","",$D9*INDEX('Допущения'!$C$25:$G$30,MATCH($C9,'Допущения'!$B$25:$B$30,0),2))</x:f>
        <x:v>9000</x:v>
      </x:c>
      <x:c r="G9" s="149" t="n">
        <x:f t="array" ref="G9">IF($D9="","",$D9*INDEX('Допущения'!$C$25:$G$30,MATCH($C9,'Допущения'!$B$25:$B$30,0),3))</x:f>
        <x:v>18000</x:v>
      </x:c>
      <x:c r="H9" s="149" t="n">
        <x:f t="array" ref="H9">IF($D9="","",$D9*INDEX('Допущения'!$C$25:$G$30,MATCH($C9,'Допущения'!$B$25:$B$30,0),4))</x:f>
        <x:v>31500</x:v>
      </x:c>
      <x:c r="I9" s="149" t="n">
        <x:f t="array" ref="I9">IF($D9="","",$D9*INDEX('Допущения'!$C$25:$G$30,MATCH($C9,'Допущения'!$B$25:$B$30,0),5))</x:f>
        <x:v>45000</x:v>
      </x:c>
      <x:c r="J9" s="149" t="n">
        <x:f t="shared" si="1">SUM(E9:I9)</x:f>
        <x:v>108000</x:v>
      </x:c>
      <x:c r="K9" s="158"/>
      <x:c r="L9" s="107" t="str">
        <x:v>SA-09: 150/мес первые 6 мес; база года × 2.5. Годы 2–5: линейный прокси пользователей. Quote/нагрузочный тест обязательны.</x:v>
      </x:c>
    </x:row>
    <x:row r="10" ht="40" customHeight="1">
      <x:c r="B10" s="124" t="s">
        <x:v>78</x:v>
      </x:c>
      <x:c r="C10" s="125" t="str">
        <x:v>пользователи</x:v>
      </x:c>
      <x:c r="D10" s="126" t="n">
        <x:v>6000</x:v>
      </x:c>
      <x:c r="E10" s="149" t="n">
        <x:f t="array" ref="E10">IF($D10="","",$D10*INDEX('Допущения'!$C$25:$G$30,MATCH($C10,'Допущения'!$B$25:$B$30,0),1))</x:f>
        <x:v>6000</x:v>
      </x:c>
      <x:c r="F10" s="149" t="n">
        <x:f t="array" ref="F10">IF($D10="","",$D10*INDEX('Допущения'!$C$25:$G$30,MATCH($C10,'Допущения'!$B$25:$B$30,0),2))</x:f>
        <x:v>12000</x:v>
      </x:c>
      <x:c r="G10" s="149" t="n">
        <x:f t="array" ref="G10">IF($D10="","",$D10*INDEX('Допущения'!$C$25:$G$30,MATCH($C10,'Допущения'!$B$25:$B$30,0),3))</x:f>
        <x:v>24000</x:v>
      </x:c>
      <x:c r="H10" s="149" t="n">
        <x:f t="array" ref="H10">IF($D10="","",$D10*INDEX('Допущения'!$C$25:$G$30,MATCH($C10,'Допущения'!$B$25:$B$30,0),4))</x:f>
        <x:v>42000</x:v>
      </x:c>
      <x:c r="I10" s="149" t="n">
        <x:f t="array" ref="I10">IF($D10="","",$D10*INDEX('Допущения'!$C$25:$G$30,MATCH($C10,'Допущения'!$B$25:$B$30,0),5))</x:f>
        <x:v>60000</x:v>
      </x:c>
      <x:c r="J10" s="149" t="n">
        <x:f t="shared" si="1">SUM(E10:I10)</x:f>
        <x:v>144000</x:v>
      </x:c>
      <x:c r="K10" s="158"/>
      <x:c r="L10" s="107" t="str">
        <x:v>SA-09: 200/мес первые 6 мес; база года × 2.5. Годы 2–5: линейный прокси пользователей. Quote/нагрузочный тест обязательны.</x:v>
      </x:c>
    </x:row>
    <x:row r="11" ht="40" customHeight="1">
      <x:c r="B11" s="124" t="s">
        <x:v>79</x:v>
      </x:c>
      <x:c r="C11" s="125" t="str">
        <x:v>пользователи</x:v>
      </x:c>
      <x:c r="D11" s="126" t="n">
        <x:v>0</x:v>
      </x:c>
      <x:c r="E11" s="149" t="str">
        <x:f t="array" ref="E11">IF($D11="","",$D11*INDEX('Допущения'!$C$25:$G$30,MATCH($C11,'Допущения'!$B$25:$B$30,0),1))</x:f>
      </x:c>
      <x:c r="F11" s="149" t="str">
        <x:f t="array" ref="F11">IF($D11="","",$D11*INDEX('Допущения'!$C$25:$G$30,MATCH($C11,'Допущения'!$B$25:$B$30,0),2))</x:f>
      </x:c>
      <x:c r="G11" s="149" t="str">
        <x:f t="array" ref="G11">IF($D11="","",$D11*INDEX('Допущения'!$C$25:$G$30,MATCH($C11,'Допущения'!$B$25:$B$30,0),3))</x:f>
      </x:c>
      <x:c r="H11" s="149" t="str">
        <x:f t="array" ref="H11">IF($D11="","",$D11*INDEX('Допущения'!$C$25:$G$30,MATCH($C11,'Допущения'!$B$25:$B$30,0),4))</x:f>
      </x:c>
      <x:c r="I11" s="149" t="str">
        <x:f t="array" ref="I11">IF($D11="","",$D11*INDEX('Допущения'!$C$25:$G$30,MATCH($C11,'Допущения'!$B$25:$B$30,0),5))</x:f>
      </x:c>
      <x:c r="J11" s="149" t="n">
        <x:f t="shared" si="1">SUM(E11:I11)</x:f>
        <x:v>0</x:v>
      </x:c>
      <x:c r="K11" s="158"/>
      <x:c r="L11" s="107" t="str">
        <x:v>SA-09: 0/мес первые 6 мес; база года × 2.5. Годы 2–5: линейный прокси пользователей. Quote/нагрузочный тест обязательны.</x:v>
      </x:c>
    </x:row>
    <x:row r="12" ht="40" customHeight="1">
      <x:c r="B12" s="124" t="s">
        <x:v>80</x:v>
      </x:c>
      <x:c r="C12" s="125" t="str">
        <x:v>пользователи</x:v>
      </x:c>
      <x:c r="D12" s="126" t="n">
        <x:v>15000</x:v>
      </x:c>
      <x:c r="E12" s="149" t="n">
        <x:f t="array" ref="E12">IF($D12="","",$D12*INDEX('Допущения'!$C$25:$G$30,MATCH($C12,'Допущения'!$B$25:$B$30,0),1))</x:f>
        <x:v>15000</x:v>
      </x:c>
      <x:c r="F12" s="149" t="n">
        <x:f t="array" ref="F12">IF($D12="","",$D12*INDEX('Допущения'!$C$25:$G$30,MATCH($C12,'Допущения'!$B$25:$B$30,0),2))</x:f>
        <x:v>30000</x:v>
      </x:c>
      <x:c r="G12" s="149" t="n">
        <x:f t="array" ref="G12">IF($D12="","",$D12*INDEX('Допущения'!$C$25:$G$30,MATCH($C12,'Допущения'!$B$25:$B$30,0),3))</x:f>
        <x:v>60000</x:v>
      </x:c>
      <x:c r="H12" s="149" t="n">
        <x:f t="array" ref="H12">IF($D12="","",$D12*INDEX('Допущения'!$C$25:$G$30,MATCH($C12,'Допущения'!$B$25:$B$30,0),4))</x:f>
        <x:v>105000</x:v>
      </x:c>
      <x:c r="I12" s="149" t="n">
        <x:f t="array" ref="I12">IF($D12="","",$D12*INDEX('Допущения'!$C$25:$G$30,MATCH($C12,'Допущения'!$B$25:$B$30,0),5))</x:f>
        <x:v>150000</x:v>
      </x:c>
      <x:c r="J12" s="149" t="n">
        <x:f t="shared" si="1">SUM(E12:I12)</x:f>
        <x:v>360000</x:v>
      </x:c>
      <x:c r="K12" s="158"/>
      <x:c r="L12" s="107" t="str">
        <x:v>SA-09: 500/мес первые 6 мес; база года × 2.5. Годы 2–5: линейный прокси пользователей. Quote/нагрузочный тест обязательны.</x:v>
      </x:c>
    </x:row>
    <x:row r="13" ht="40" customHeight="1">
      <x:c r="B13" s="124" t="str">
        <x:v>Локальные площадки: каналы и site fees</x:v>
      </x:c>
      <x:c r="C13" s="125" t="str">
        <x:v>инфляция</x:v>
      </x:c>
      <x:c r="D13" s="126" t="n">
        <x:v>6000</x:v>
      </x:c>
      <x:c r="E13" s="149" t="n">
        <x:f t="array" ref="E13">IF($D13="","",$D13*INDEX('Допущения'!$C$25:$G$30,MATCH($C13,'Допущения'!$B$25:$B$30,0),1))</x:f>
        <x:v>6000</x:v>
      </x:c>
      <x:c r="F13" s="149" t="n">
        <x:f t="array" ref="F13">IF($D13="","",$D13*INDEX('Допущения'!$C$25:$G$30,MATCH($C13,'Допущения'!$B$25:$B$30,0),2))</x:f>
        <x:v>6300</x:v>
      </x:c>
      <x:c r="G13" s="149" t="n">
        <x:f t="array" ref="G13">IF($D13="","",$D13*INDEX('Допущения'!$C$25:$G$30,MATCH($C13,'Допущения'!$B$25:$B$30,0),3))</x:f>
        <x:v>6615</x:v>
      </x:c>
      <x:c r="H13" s="149" t="n">
        <x:f t="array" ref="H13">IF($D13="","",$D13*INDEX('Допущения'!$C$25:$G$30,MATCH($C13,'Допущения'!$B$25:$B$30,0),4))</x:f>
        <x:v>6945.750000000001</x:v>
      </x:c>
      <x:c r="I13" s="149" t="n">
        <x:f t="array" ref="I13">IF($D13="","",$D13*INDEX('Допущения'!$C$25:$G$30,MATCH($C13,'Допущения'!$B$25:$B$30,0),5))</x:f>
        <x:v>7293.037500000001</x:v>
      </x:c>
      <x:c r="J13" s="149" t="n">
        <x:f t="shared" si="1">SUM(E13:I13)</x:f>
        <x:v>33153.7875</x:v>
      </x:c>
      <x:c r="K13" s="158"/>
      <x:c r="L13" s="107" t="str">
        <x:v>SA-09: только каналы/площадка; VM и диски уже в Compute/БД — без двойного счёта. Страна хранения согласно временной политике A3 с.1–2.</x:v>
      </x:c>
    </x:row>
    <x:row r="14" ht="40" customHeight="1">
      <x:c r="B14" s="124"/>
      <x:c r="C14" s="125" t="str">
        <x:v>фикс</x:v>
      </x:c>
      <x:c r="D14" s="126" t="n">
        <x:v>0</x:v>
      </x:c>
      <x:c r="E14" s="149" t="str">
        <x:f t="array" ref="E14">IF($D14="","",$D14*INDEX('Допущения'!$C$25:$G$30,MATCH($C14,'Допущения'!$B$25:$B$30,0),1))</x:f>
      </x:c>
      <x:c r="F14" s="149" t="str">
        <x:f t="array" ref="F14">IF($D14="","",$D14*INDEX('Допущения'!$C$25:$G$30,MATCH($C14,'Допущения'!$B$25:$B$30,0),2))</x:f>
      </x:c>
      <x:c r="G14" s="149" t="str">
        <x:f t="array" ref="G14">IF($D14="","",$D14*INDEX('Допущения'!$C$25:$G$30,MATCH($C14,'Допущения'!$B$25:$B$30,0),3))</x:f>
      </x:c>
      <x:c r="H14" s="149" t="str">
        <x:f t="array" ref="H14">IF($D14="","",$D14*INDEX('Допущения'!$C$25:$G$30,MATCH($C14,'Допущения'!$B$25:$B$30,0),4))</x:f>
      </x:c>
      <x:c r="I14" s="149" t="str">
        <x:f t="array" ref="I14">IF($D14="","",$D14*INDEX('Допущения'!$C$25:$G$30,MATCH($C14,'Допущения'!$B$25:$B$30,0),5))</x:f>
      </x:c>
      <x:c r="J14" s="149" t="n">
        <x:f t="shared" si="1">SUM(E14:I14)</x:f>
        <x:v>0</x:v>
      </x:c>
      <x:c r="K14" s="158"/>
      <x:c r="L14" s="107" t="s">
        <x:v>81</x:v>
      </x:c>
    </x:row>
    <x:row r="15" ht="40" customHeight="1">
      <x:c r="B15" s="128" t="s">
        <x:v>82</x:v>
      </x:c>
      <x:c r="C15" s="129"/>
      <x:c r="D15" s="129"/>
      <x:c r="E15" s="150" t="n">
        <x:f t="shared" ref="E15:J15" si="2">SUM(E7:E14)</x:f>
        <x:v>84000</x:v>
      </x:c>
      <x:c r="F15" s="150" t="n">
        <x:f t="shared" si="2">SUM(F7:F14)</x:f>
        <x:v>162300</x:v>
      </x:c>
      <x:c r="G15" s="150" t="n">
        <x:f t="shared" si="2">SUM(G7:G14)</x:f>
        <x:v>318615</x:v>
      </x:c>
      <x:c r="H15" s="150" t="n">
        <x:f t="shared" si="2">SUM(H7:H14)</x:f>
        <x:v>552945.75</x:v>
      </x:c>
      <x:c r="I15" s="150" t="n">
        <x:f t="shared" si="2">SUM(I7:I14)</x:f>
        <x:v>787293.0375</x:v>
      </x:c>
      <x:c r="J15" s="150" t="n">
        <x:f t="shared" si="2">SUM(J7:J14)</x:f>
        <x:v>1905153.7875</x:v>
      </x:c>
      <x:c r="K15" s="131" t="n">
        <x:f>IFERROR(J15/$J$51,0)</x:f>
        <x:v>0.04981739631543885</x:v>
      </x:c>
      <x:c r="L15" s="129"/>
    </x:row>
    <x:row r="16" ht="40" customHeight="1">
      <x:c r="B16" s="120"/>
      <x:c r="C16" s="132"/>
      <x:c r="D16" s="120"/>
      <x:c r="E16" s="151"/>
      <x:c r="F16" s="151"/>
      <x:c r="G16" s="151"/>
      <x:c r="H16" s="151"/>
      <x:c r="I16" s="151"/>
      <x:c r="J16" s="151"/>
      <x:c r="K16" s="159"/>
      <x:c r="L16" s="120"/>
    </x:row>
    <x:row r="17" ht="40" customHeight="1">
      <x:c r="B17" s="122" t="s">
        <x:v>83</x:v>
      </x:c>
      <x:c r="C17" s="123"/>
      <x:c r="D17" s="123"/>
      <x:c r="E17" s="152"/>
      <x:c r="F17" s="152"/>
      <x:c r="G17" s="152"/>
      <x:c r="H17" s="152"/>
      <x:c r="I17" s="152"/>
      <x:c r="J17" s="152"/>
      <x:c r="K17" s="160"/>
      <x:c r="L17" s="123"/>
    </x:row>
    <x:row r="18" ht="40" customHeight="1">
      <x:c r="B18" s="124" t="s">
        <x:v>84</x:v>
      </x:c>
      <x:c r="C18" s="125" t="str">
        <x:v>пользователи</x:v>
      </x:c>
      <x:c r="D18" s="126" t="n">
        <x:v>4500</x:v>
      </x:c>
      <x:c r="E18" s="149" t="n">
        <x:f t="array" ref="E18">IF($D18="","",$D18*INDEX('Допущения'!$C$25:$G$30,MATCH($C18,'Допущения'!$B$25:$B$30,0),1))</x:f>
        <x:v>4500</x:v>
      </x:c>
      <x:c r="F18" s="149" t="n">
        <x:f t="array" ref="F18">IF($D18="","",$D18*INDEX('Допущения'!$C$25:$G$30,MATCH($C18,'Допущения'!$B$25:$B$30,0),2))</x:f>
        <x:v>9000</x:v>
      </x:c>
      <x:c r="G18" s="149" t="n">
        <x:f t="array" ref="G18">IF($D18="","",$D18*INDEX('Допущения'!$C$25:$G$30,MATCH($C18,'Допущения'!$B$25:$B$30,0),3))</x:f>
        <x:v>18000</x:v>
      </x:c>
      <x:c r="H18" s="149" t="n">
        <x:f t="array" ref="H18">IF($D18="","",$D18*INDEX('Допущения'!$C$25:$G$30,MATCH($C18,'Допущения'!$B$25:$B$30,0),4))</x:f>
        <x:v>31500</x:v>
      </x:c>
      <x:c r="I18" s="149" t="n">
        <x:f t="array" ref="I18">IF($D18="","",$D18*INDEX('Допущения'!$C$25:$G$30,MATCH($C18,'Допущения'!$B$25:$B$30,0),5))</x:f>
        <x:v>45000</x:v>
      </x:c>
      <x:c r="J18" s="149" t="n">
        <x:f t="shared" ref="J18:J23" si="3">SUM(E18:I18)</x:f>
        <x:v>108000</x:v>
      </x:c>
      <x:c r="K18" s="158"/>
      <x:c r="L18" s="107" t="str">
        <x:v>SA-09: 150/мес первые 6 мес; база года × 2.5. Годы 2–5: линейный прокси пользователей. Quote/нагрузочный тест обязательны.</x:v>
      </x:c>
    </x:row>
    <x:row r="19" ht="40" customHeight="1">
      <x:c r="B19" s="124" t="s">
        <x:v>85</x:v>
      </x:c>
      <x:c r="C19" s="125" t="str">
        <x:v>инфляция</x:v>
      </x:c>
      <x:c r="D19" s="126" t="n">
        <x:v>1200</x:v>
      </x:c>
      <x:c r="E19" s="149" t="n">
        <x:f t="array" ref="E19">IF($D19="","",$D19*INDEX('Допущения'!$C$25:$G$30,MATCH($C19,'Допущения'!$B$25:$B$30,0),1))</x:f>
        <x:v>1200</x:v>
      </x:c>
      <x:c r="F19" s="149" t="n">
        <x:f t="array" ref="F19">IF($D19="","",$D19*INDEX('Допущения'!$C$25:$G$30,MATCH($C19,'Допущения'!$B$25:$B$30,0),2))</x:f>
        <x:v>1260</x:v>
      </x:c>
      <x:c r="G19" s="149" t="n">
        <x:f t="array" ref="G19">IF($D19="","",$D19*INDEX('Допущения'!$C$25:$G$30,MATCH($C19,'Допущения'!$B$25:$B$30,0),3))</x:f>
        <x:v>1323</x:v>
      </x:c>
      <x:c r="H19" s="149" t="n">
        <x:f t="array" ref="H19">IF($D19="","",$D19*INDEX('Допущения'!$C$25:$G$30,MATCH($C19,'Допущения'!$B$25:$B$30,0),4))</x:f>
        <x:v>1389.15</x:v>
      </x:c>
      <x:c r="I19" s="149" t="n">
        <x:f t="array" ref="I19">IF($D19="","",$D19*INDEX('Допущения'!$C$25:$G$30,MATCH($C19,'Допущения'!$B$25:$B$30,0),5))</x:f>
        <x:v>1458.6075000000003</x:v>
      </x:c>
      <x:c r="J19" s="149" t="n">
        <x:f t="shared" si="3">SUM(E19:I19)</x:f>
        <x:v>6630.7575</x:v>
      </x:c>
      <x:c r="K19" s="158"/>
      <x:c r="L19" s="107" t="s">
        <x:v>86</x:v>
      </x:c>
    </x:row>
    <x:row r="20" ht="40" customHeight="1">
      <x:c r="B20" s="124" t="s">
        <x:v>87</x:v>
      </x:c>
      <x:c r="C20" s="125" t="str">
        <x:v>пользователи</x:v>
      </x:c>
      <x:c r="D20" s="126" t="n">
        <x:v>3000</x:v>
      </x:c>
      <x:c r="E20" s="149" t="n">
        <x:f t="array" ref="E20">IF($D20="","",$D20*INDEX('Допущения'!$C$25:$G$30,MATCH($C20,'Допущения'!$B$25:$B$30,0),1))</x:f>
        <x:v>3000</x:v>
      </x:c>
      <x:c r="F20" s="149" t="n">
        <x:f t="array" ref="F20">IF($D20="","",$D20*INDEX('Допущения'!$C$25:$G$30,MATCH($C20,'Допущения'!$B$25:$B$30,0),2))</x:f>
        <x:v>6000</x:v>
      </x:c>
      <x:c r="G20" s="149" t="n">
        <x:f t="array" ref="G20">IF($D20="","",$D20*INDEX('Допущения'!$C$25:$G$30,MATCH($C20,'Допущения'!$B$25:$B$30,0),3))</x:f>
        <x:v>12000</x:v>
      </x:c>
      <x:c r="H20" s="149" t="n">
        <x:f t="array" ref="H20">IF($D20="","",$D20*INDEX('Допущения'!$C$25:$G$30,MATCH($C20,'Допущения'!$B$25:$B$30,0),4))</x:f>
        <x:v>21000</x:v>
      </x:c>
      <x:c r="I20" s="149" t="n">
        <x:f t="array" ref="I20">IF($D20="","",$D20*INDEX('Допущения'!$C$25:$G$30,MATCH($C20,'Допущения'!$B$25:$B$30,0),5))</x:f>
        <x:v>30000</x:v>
      </x:c>
      <x:c r="J20" s="149" t="n">
        <x:f t="shared" si="3">SUM(E20:I20)</x:f>
        <x:v>72000</x:v>
      </x:c>
      <x:c r="K20" s="158"/>
      <x:c r="L20" s="107" t="str">
        <x:v>SA-09: 100/мес первые 6 мес; база года × 2.5. Годы 2–5: линейный прокси пользователей. Quote/нагрузочный тест обязательны.</x:v>
      </x:c>
    </x:row>
    <x:row r="21" ht="40" customHeight="1">
      <x:c r="B21" s="124" t="str">
        <x:v>WhatsApp/BSP: постоянная плата</x:v>
      </x:c>
      <x:c r="C21" s="125" t="str">
        <x:v>инфляция</x:v>
      </x:c>
      <x:c r="D21" s="126" t="n">
        <x:v>600</x:v>
      </x:c>
      <x:c r="E21" s="149" t="n">
        <x:f t="array" ref="E21">IF($D21="","",$D21*INDEX('Допущения'!$C$25:$G$30,MATCH($C21,'Допущения'!$B$25:$B$30,0),1))</x:f>
        <x:v>600</x:v>
      </x:c>
      <x:c r="F21" s="149" t="n">
        <x:f t="array" ref="F21">IF($D21="","",$D21*INDEX('Допущения'!$C$25:$G$30,MATCH($C21,'Допущения'!$B$25:$B$30,0),2))</x:f>
        <x:v>630</x:v>
      </x:c>
      <x:c r="G21" s="149" t="n">
        <x:f t="array" ref="G21">IF($D21="","",$D21*INDEX('Допущения'!$C$25:$G$30,MATCH($C21,'Допущения'!$B$25:$B$30,0),3))</x:f>
        <x:v>661.5</x:v>
      </x:c>
      <x:c r="H21" s="149" t="n">
        <x:f t="array" ref="H21">IF($D21="","",$D21*INDEX('Допущения'!$C$25:$G$30,MATCH($C21,'Допущения'!$B$25:$B$30,0),4))</x:f>
        <x:v>694.575</x:v>
      </x:c>
      <x:c r="I21" s="149" t="n">
        <x:f t="array" ref="I21">IF($D21="","",$D21*INDEX('Допущения'!$C$25:$G$30,MATCH($C21,'Допущения'!$B$25:$B$30,0),5))</x:f>
        <x:v>729.3037500000002</x:v>
      </x:c>
      <x:c r="J21" s="149" t="n">
        <x:f t="shared" si="3">SUM(E21:I21)</x:f>
        <x:v>3315.37875</x:v>
      </x:c>
      <x:c r="K21" s="158"/>
      <x:c r="L21" s="107" t="s">
        <x:v>88</x:v>
      </x:c>
    </x:row>
    <x:row r="22" ht="40" customHeight="1">
      <x:c r="B22" s="124" t="s">
        <x:v>89</x:v>
      </x:c>
      <x:c r="C22" s="125" t="str">
        <x:v>инфляция</x:v>
      </x:c>
      <x:c r="D22" s="126" t="n">
        <x:v>600</x:v>
      </x:c>
      <x:c r="E22" s="149" t="n">
        <x:f t="array" ref="E22">IF($D22="","",$D22*INDEX('Допущения'!$C$25:$G$30,MATCH($C22,'Допущения'!$B$25:$B$30,0),1))</x:f>
        <x:v>600</x:v>
      </x:c>
      <x:c r="F22" s="149" t="n">
        <x:f t="array" ref="F22">IF($D22="","",$D22*INDEX('Допущения'!$C$25:$G$30,MATCH($C22,'Допущения'!$B$25:$B$30,0),2))</x:f>
        <x:v>630</x:v>
      </x:c>
      <x:c r="G22" s="149" t="n">
        <x:f t="array" ref="G22">IF($D22="","",$D22*INDEX('Допущения'!$C$25:$G$30,MATCH($C22,'Допущения'!$B$25:$B$30,0),3))</x:f>
        <x:v>661.5</x:v>
      </x:c>
      <x:c r="H22" s="149" t="n">
        <x:f t="array" ref="H22">IF($D22="","",$D22*INDEX('Допущения'!$C$25:$G$30,MATCH($C22,'Допущения'!$B$25:$B$30,0),4))</x:f>
        <x:v>694.575</x:v>
      </x:c>
      <x:c r="I22" s="149" t="n">
        <x:f t="array" ref="I22">IF($D22="","",$D22*INDEX('Допущения'!$C$25:$G$30,MATCH($C22,'Допущения'!$B$25:$B$30,0),5))</x:f>
        <x:v>729.3037500000002</x:v>
      </x:c>
      <x:c r="J22" s="149" t="n">
        <x:f t="shared" si="3">SUM(E22:I22)</x:f>
        <x:v>3315.37875</x:v>
      </x:c>
      <x:c r="K22" s="158"/>
      <x:c r="L22" s="107" t="s">
        <x:v>90</x:v>
      </x:c>
    </x:row>
    <x:row r="23" ht="40" customHeight="1">
      <x:c r="B23" s="124" t="str">
        <x:v>Oracle EE: ежегодная поддержка</x:v>
      </x:c>
      <x:c r="C23" s="125" t="str">
        <x:v>инфляция</x:v>
      </x:c>
      <x:c r="D23" s="126" t="n">
        <x:v>0</x:v>
      </x:c>
      <x:c r="E23" s="149" t="str">
        <x:f t="array" ref="E23">IF($D23="","",$D23*INDEX('Допущения'!$C$25:$G$30,MATCH($C23,'Допущения'!$B$25:$B$30,0),1))</x:f>
      </x:c>
      <x:c r="F23" s="149" t="str">
        <x:f t="array" ref="F23">IF($D23="","",$D23*INDEX('Допущения'!$C$25:$G$30,MATCH($C23,'Допущения'!$B$25:$B$30,0),2))</x:f>
      </x:c>
      <x:c r="G23" s="149" t="str">
        <x:f t="array" ref="G23">IF($D23="","",$D23*INDEX('Допущения'!$C$25:$G$30,MATCH($C23,'Допущения'!$B$25:$B$30,0),3))</x:f>
      </x:c>
      <x:c r="H23" s="149" t="str">
        <x:f t="array" ref="H23">IF($D23="","",$D23*INDEX('Допущения'!$C$25:$G$30,MATCH($C23,'Допущения'!$B$25:$B$30,0),4))</x:f>
      </x:c>
      <x:c r="I23" s="149" t="str">
        <x:f t="array" ref="I23">IF($D23="","",$D23*INDEX('Допущения'!$C$25:$G$30,MATCH($C23,'Допущения'!$B$25:$B$30,0),5))</x:f>
      </x:c>
      <x:c r="J23" s="149" t="n">
        <x:f t="shared" si="3">SUM(E23:I23)</x:f>
        <x:v>0</x:v>
      </x:c>
      <x:c r="K23" s="158"/>
      <x:c r="L23" s="107" t="str">
        <x:v>Oracle 0 Processor × $10450; вариант EE допущен для сравнения, не требование A5. Лицензирование/опции требуют quote.</x:v>
      </x:c>
    </x:row>
    <x:row r="24" ht="40" customHeight="1">
      <x:c r="B24" s="128" t="s">
        <x:v>82</x:v>
      </x:c>
      <x:c r="C24" s="129"/>
      <x:c r="D24" s="129"/>
      <x:c r="E24" s="150" t="n">
        <x:f t="shared" ref="E24:J24" si="4">SUM(E18:E23)</x:f>
        <x:v>9900</x:v>
      </x:c>
      <x:c r="F24" s="150" t="n">
        <x:f t="shared" si="4">SUM(F18:F23)</x:f>
        <x:v>17520</x:v>
      </x:c>
      <x:c r="G24" s="150" t="n">
        <x:f t="shared" si="4">SUM(G18:G23)</x:f>
        <x:v>32646</x:v>
      </x:c>
      <x:c r="H24" s="150" t="n">
        <x:f t="shared" si="4">SUM(H18:H23)</x:f>
        <x:v>55278.299999999996</x:v>
      </x:c>
      <x:c r="I24" s="150" t="n">
        <x:f t="shared" si="4">SUM(I18:I23)</x:f>
        <x:v>77917.21500000001</x:v>
      </x:c>
      <x:c r="J24" s="150" t="n">
        <x:f t="shared" si="4">SUM(J18:J23)</x:f>
        <x:v>193261.515</x:v>
      </x:c>
      <x:c r="K24" s="131" t="n">
        <x:f>IFERROR(J24/$J$51,0)</x:f>
        <x:v>0.005053547670768877</x:v>
      </x:c>
      <x:c r="L24" s="129"/>
    </x:row>
    <x:row r="25" ht="40" customHeight="1">
      <x:c r="B25" s="120"/>
      <x:c r="C25" s="132"/>
      <x:c r="D25" s="120"/>
      <x:c r="E25" s="151"/>
      <x:c r="F25" s="151"/>
      <x:c r="G25" s="151"/>
      <x:c r="H25" s="151"/>
      <x:c r="I25" s="151"/>
      <x:c r="J25" s="151"/>
      <x:c r="K25" s="159"/>
      <x:c r="L25" s="120"/>
    </x:row>
    <x:row r="26" ht="40" customHeight="1">
      <x:c r="B26" s="122" t="s">
        <x:v>91</x:v>
      </x:c>
      <x:c r="C26" s="123"/>
      <x:c r="D26" s="123"/>
      <x:c r="E26" s="152"/>
      <x:c r="F26" s="152"/>
      <x:c r="G26" s="152"/>
      <x:c r="H26" s="152"/>
      <x:c r="I26" s="152"/>
      <x:c r="J26" s="152"/>
      <x:c r="K26" s="160"/>
      <x:c r="L26" s="123"/>
    </x:row>
    <x:row r="27" ht="40" customHeight="1">
      <x:c r="B27" s="124" t="s">
        <x:v>92</x:v>
      </x:c>
      <x:c r="C27" s="125" t="str">
        <x:v>GMV</x:v>
      </x:c>
      <x:c r="D27" s="126" t="n">
        <x:v>440000</x:v>
      </x:c>
      <x:c r="E27" s="149" t="n">
        <x:f t="array" ref="E27">IF($D27="","",$D27*INDEX('Допущения'!$C$25:$G$30,MATCH($C27,'Допущения'!$B$25:$B$30,0),1))</x:f>
        <x:v>440000</x:v>
      </x:c>
      <x:c r="F27" s="149" t="n">
        <x:f t="array" ref="F27">IF($D27="","",$D27*INDEX('Допущения'!$C$25:$G$30,MATCH($C27,'Допущения'!$B$25:$B$30,0),2))</x:f>
        <x:v>1375000</x:v>
      </x:c>
      <x:c r="G27" s="149" t="n">
        <x:f t="array" ref="G27">IF($D27="","",$D27*INDEX('Допущения'!$C$25:$G$30,MATCH($C27,'Допущения'!$B$25:$B$30,0),3))</x:f>
        <x:v>3300000</x:v>
      </x:c>
      <x:c r="H27" s="149" t="n">
        <x:f t="array" ref="H27">IF($D27="","",$D27*INDEX('Допущения'!$C$25:$G$30,MATCH($C27,'Допущения'!$B$25:$B$30,0),4))</x:f>
        <x:v>6600000</x:v>
      </x:c>
      <x:c r="I27" s="149" t="n">
        <x:f t="array" ref="I27">IF($D27="","",$D27*INDEX('Допущения'!$C$25:$G$30,MATCH($C27,'Допущения'!$B$25:$B$30,0),5))</x:f>
        <x:v>11000000</x:v>
      </x:c>
      <x:c r="J27" s="149" t="n">
        <x:f t="shared" ref="J27:J31" si="5">SUM(E27:I27)</x:f>
        <x:v>22715000</x:v>
      </x:c>
      <x:c r="K27" s="158"/>
      <x:c r="L27" s="107" t="str">
        <x:v>SA-05: 2,2% GMV, сборы/FX/налоги включены по гипотезе договора. 2,5% — потолок A6, не текущая оферта.</x:v>
      </x:c>
    </x:row>
    <x:row r="28" ht="40" customHeight="1">
      <x:c r="B28" s="124" t="s">
        <x:v>93</x:v>
      </x:c>
      <x:c r="C28" s="125" t="str">
        <x:v>заказы</x:v>
      </x:c>
      <x:c r="D28" s="126" t="n">
        <x:v>64000</x:v>
      </x:c>
      <x:c r="E28" s="149" t="n">
        <x:f t="array" ref="E28">IF($D28="","",$D28*INDEX('Допущения'!$C$25:$G$30,MATCH($C28,'Допущения'!$B$25:$B$30,0),1))</x:f>
        <x:v>64000</x:v>
      </x:c>
      <x:c r="F28" s="149" t="n">
        <x:f t="array" ref="F28">IF($D28="","",$D28*INDEX('Допущения'!$C$25:$G$30,MATCH($C28,'Допущения'!$B$25:$B$30,0),2))</x:f>
        <x:v>200000</x:v>
      </x:c>
      <x:c r="G28" s="149" t="n">
        <x:f t="array" ref="G28">IF($D28="","",$D28*INDEX('Допущения'!$C$25:$G$30,MATCH($C28,'Допущения'!$B$25:$B$30,0),3))</x:f>
        <x:v>480000</x:v>
      </x:c>
      <x:c r="H28" s="149" t="n">
        <x:f t="array" ref="H28">IF($D28="","",$D28*INDEX('Допущения'!$C$25:$G$30,MATCH($C28,'Допущения'!$B$25:$B$30,0),4))</x:f>
        <x:v>960000</x:v>
      </x:c>
      <x:c r="I28" s="149" t="n">
        <x:f t="array" ref="I28">IF($D28="","",$D28*INDEX('Допущения'!$C$25:$G$30,MATCH($C28,'Допущения'!$B$25:$B$30,0),5))</x:f>
        <x:v>1600000</x:v>
      </x:c>
      <x:c r="J28" s="149" t="n">
        <x:f t="shared" si="5">SUM(E28:I28)</x:f>
        <x:v>3304000</x:v>
      </x:c>
      <x:c r="K28" s="158"/>
      <x:c r="L28" s="107" t="str">
        <x:v>SA-06: 2 SMS × $0,04 × заказы.</x:v>
      </x:c>
    </x:row>
    <x:row r="29" ht="40" customHeight="1">
      <x:c r="B29" s="124" t="str">
        <x:v>WhatsApp: сообщения, не диалоги</x:v>
      </x:c>
      <x:c r="C29" s="125" t="str">
        <x:v>заказы</x:v>
      </x:c>
      <x:c r="D29" s="126" t="n">
        <x:v>16000</x:v>
      </x:c>
      <x:c r="E29" s="149" t="n">
        <x:f t="array" ref="E29">IF($D29="","",$D29*INDEX('Допущения'!$C$25:$G$30,MATCH($C29,'Допущения'!$B$25:$B$30,0),1))</x:f>
        <x:v>16000</x:v>
      </x:c>
      <x:c r="F29" s="149" t="n">
        <x:f t="array" ref="F29">IF($D29="","",$D29*INDEX('Допущения'!$C$25:$G$30,MATCH($C29,'Допущения'!$B$25:$B$30,0),2))</x:f>
        <x:v>50000</x:v>
      </x:c>
      <x:c r="G29" s="149" t="n">
        <x:f t="array" ref="G29">IF($D29="","",$D29*INDEX('Допущения'!$C$25:$G$30,MATCH($C29,'Допущения'!$B$25:$B$30,0),3))</x:f>
        <x:v>120000</x:v>
      </x:c>
      <x:c r="H29" s="149" t="n">
        <x:f t="array" ref="H29">IF($D29="","",$D29*INDEX('Допущения'!$C$25:$G$30,MATCH($C29,'Допущения'!$B$25:$B$30,0),4))</x:f>
        <x:v>240000</x:v>
      </x:c>
      <x:c r="I29" s="149" t="n">
        <x:f t="array" ref="I29">IF($D29="","",$D29*INDEX('Допущения'!$C$25:$G$30,MATCH($C29,'Допущения'!$B$25:$B$30,0),5))</x:f>
        <x:v>400000</x:v>
      </x:c>
      <x:c r="J29" s="149" t="n">
        <x:f t="shared" si="5">SUM(E29:I29)</x:f>
        <x:v>826000</x:v>
      </x:c>
      <x:c r="K29" s="158"/>
      <x:c r="L29" s="107" t="str">
        <x:v>SA-06: 0,5 сообщения × $0,04 × заказы.</x:v>
      </x:c>
    </x:row>
    <x:row r="30" ht="40" customHeight="1">
      <x:c r="B30" s="124" t="str">
        <x:v>Логистический API/support (без доставки)</x:v>
      </x:c>
      <x:c r="C30" s="125" t="str">
        <x:v>заказы</x:v>
      </x:c>
      <x:c r="D30" s="126" t="n">
        <x:v>40000</x:v>
      </x:c>
      <x:c r="E30" s="149" t="n">
        <x:f t="array" ref="E30">IF($D30="","",$D30*INDEX('Допущения'!$C$25:$G$30,MATCH($C30,'Допущения'!$B$25:$B$30,0),1))</x:f>
        <x:v>40000</x:v>
      </x:c>
      <x:c r="F30" s="149" t="n">
        <x:f t="array" ref="F30">IF($D30="","",$D30*INDEX('Допущения'!$C$25:$G$30,MATCH($C30,'Допущения'!$B$25:$B$30,0),2))</x:f>
        <x:v>125000</x:v>
      </x:c>
      <x:c r="G30" s="149" t="n">
        <x:f t="array" ref="G30">IF($D30="","",$D30*INDEX('Допущения'!$C$25:$G$30,MATCH($C30,'Допущения'!$B$25:$B$30,0),3))</x:f>
        <x:v>300000</x:v>
      </x:c>
      <x:c r="H30" s="149" t="n">
        <x:f t="array" ref="H30">IF($D30="","",$D30*INDEX('Допущения'!$C$25:$G$30,MATCH($C30,'Допущения'!$B$25:$B$30,0),4))</x:f>
        <x:v>600000</x:v>
      </x:c>
      <x:c r="I30" s="149" t="n">
        <x:f t="array" ref="I30">IF($D30="","",$D30*INDEX('Допущения'!$C$25:$G$30,MATCH($C30,'Допущения'!$B$25:$B$30,0),5))</x:f>
        <x:v>1000000</x:v>
      </x:c>
      <x:c r="J30" s="149" t="n">
        <x:f t="shared" si="5">SUM(E30:I30)</x:f>
        <x:v>2065000</x:v>
      </x:c>
      <x:c r="K30" s="158"/>
      <x:c r="L30" s="107" t="str">
        <x:v>SA-07: $0,05/заказ за API/support; доставка вне IT-модели.</x:v>
      </x:c>
    </x:row>
    <x:row r="31" ht="40" customHeight="1">
      <x:c r="B31" s="124" t="str">
        <x:v>USSD: аренда кода и шлюза</x:v>
      </x:c>
      <x:c r="C31" s="125" t="str">
        <x:v>инфляция</x:v>
      </x:c>
      <x:c r="D31" s="126" t="n">
        <x:v>1200</x:v>
      </x:c>
      <x:c r="E31" s="149" t="n">
        <x:f t="array" ref="E31">IF($D31="","",$D31*INDEX('Допущения'!$C$25:$G$30,MATCH($C31,'Допущения'!$B$25:$B$30,0),1))</x:f>
        <x:v>1200</x:v>
      </x:c>
      <x:c r="F31" s="149" t="n">
        <x:f t="array" ref="F31">IF($D31="","",$D31*INDEX('Допущения'!$C$25:$G$30,MATCH($C31,'Допущения'!$B$25:$B$30,0),2))</x:f>
        <x:v>1260</x:v>
      </x:c>
      <x:c r="G31" s="149" t="n">
        <x:f t="array" ref="G31">IF($D31="","",$D31*INDEX('Допущения'!$C$25:$G$30,MATCH($C31,'Допущения'!$B$25:$B$30,0),3))</x:f>
        <x:v>1323</x:v>
      </x:c>
      <x:c r="H31" s="149" t="n">
        <x:f t="array" ref="H31">IF($D31="","",$D31*INDEX('Допущения'!$C$25:$G$30,MATCH($C31,'Допущения'!$B$25:$B$30,0),4))</x:f>
        <x:v>1389.15</x:v>
      </x:c>
      <x:c r="I31" s="149" t="n">
        <x:f t="array" ref="I31">IF($D31="","",$D31*INDEX('Допущения'!$C$25:$G$30,MATCH($C31,'Допущения'!$B$25:$B$30,0),5))</x:f>
        <x:v>1458.6075000000003</x:v>
      </x:c>
      <x:c r="J31" s="149" t="n">
        <x:f t="shared" si="5">SUM(E31:I31)</x:f>
        <x:v>6630.7575</x:v>
      </x:c>
      <x:c r="K31" s="158"/>
      <x:c r="L31" s="107" t="s">
        <x:v>81</x:v>
      </x:c>
    </x:row>
    <x:row r="32" ht="40" customHeight="1">
      <x:c r="B32" s="128" t="s">
        <x:v>82</x:v>
      </x:c>
      <x:c r="C32" s="129"/>
      <x:c r="D32" s="129"/>
      <x:c r="E32" s="150" t="n">
        <x:f t="shared" ref="E32:J32" si="6">SUM(E27:E31)</x:f>
        <x:v>561200</x:v>
      </x:c>
      <x:c r="F32" s="150" t="n">
        <x:f t="shared" si="6">SUM(F27:F31)</x:f>
        <x:v>1751260</x:v>
      </x:c>
      <x:c r="G32" s="150" t="n">
        <x:f t="shared" si="6">SUM(G27:G31)</x:f>
        <x:v>4201323</x:v>
      </x:c>
      <x:c r="H32" s="150" t="n">
        <x:f t="shared" si="6">SUM(H27:H31)</x:f>
        <x:v>8401389.15</x:v>
      </x:c>
      <x:c r="I32" s="150" t="n">
        <x:f t="shared" si="6">SUM(I27:I31)</x:f>
        <x:v>14001458.6075</x:v>
      </x:c>
      <x:c r="J32" s="150" t="n">
        <x:f t="shared" si="6">SUM(J27:J31)</x:f>
        <x:v>28916630.7575</x:v>
      </x:c>
      <x:c r="K32" s="131" t="n">
        <x:f>IFERROR(J32/$J$51,0)</x:f>
        <x:v>0.7561338428452649</x:v>
      </x:c>
      <x:c r="L32" s="129"/>
    </x:row>
    <x:row r="33" ht="40" customHeight="1">
      <x:c r="B33" s="120"/>
      <x:c r="C33" s="132"/>
      <x:c r="D33" s="120"/>
      <x:c r="E33" s="151"/>
      <x:c r="F33" s="151"/>
      <x:c r="G33" s="151"/>
      <x:c r="H33" s="151"/>
      <x:c r="I33" s="151"/>
      <x:c r="J33" s="151"/>
      <x:c r="K33" s="159"/>
      <x:c r="L33" s="120"/>
    </x:row>
    <x:row r="34" ht="40" customHeight="1">
      <x:c r="B34" s="122" t="s">
        <x:v>94</x:v>
      </x:c>
      <x:c r="C34" s="123"/>
      <x:c r="D34" s="123"/>
      <x:c r="E34" s="152"/>
      <x:c r="F34" s="152"/>
      <x:c r="G34" s="152"/>
      <x:c r="H34" s="152"/>
      <x:c r="I34" s="152"/>
      <x:c r="J34" s="152"/>
      <x:c r="K34" s="160"/>
      <x:c r="L34" s="123"/>
    </x:row>
    <x:row r="35" ht="40" customHeight="1">
      <x:c r="B35" s="124" t="s">
        <x:v>95</x:v>
      </x:c>
      <x:c r="C35" s="125" t="str">
        <x:v>ФОТ</x:v>
      </x:c>
      <x:c r="D35" s="126" t="n">
        <x:v>180000</x:v>
      </x:c>
      <x:c r="E35" s="149" t="n">
        <x:f t="array" ref="E35">IF($D35="","",$D35*INDEX('Допущения'!$C$25:$G$30,MATCH($C35,'Допущения'!$B$25:$B$30,0),1))</x:f>
        <x:v>180000</x:v>
      </x:c>
      <x:c r="F35" s="149" t="n">
        <x:f t="array" ref="F35">IF($D35="","",$D35*INDEX('Допущения'!$C$25:$G$30,MATCH($C35,'Допущения'!$B$25:$B$30,0),2))</x:f>
        <x:v>234000</x:v>
      </x:c>
      <x:c r="G35" s="149" t="n">
        <x:f t="array" ref="G35">IF($D35="","",$D35*INDEX('Допущения'!$C$25:$G$30,MATCH($C35,'Допущения'!$B$25:$B$30,0),3))</x:f>
        <x:v>304200.00000000006</x:v>
      </x:c>
      <x:c r="H35" s="149" t="n">
        <x:f t="array" ref="H35">IF($D35="","",$D35*INDEX('Допущения'!$C$25:$G$30,MATCH($C35,'Допущения'!$B$25:$B$30,0),4))</x:f>
        <x:v>395460.0000000001</x:v>
      </x:c>
      <x:c r="I35" s="149" t="n">
        <x:f t="array" ref="I35">IF($D35="","",$D35*INDEX('Допущения'!$C$25:$G$30,MATCH($C35,'Допущения'!$B$25:$B$30,0),5))</x:f>
        <x:v>514098.0000000002</x:v>
      </x:c>
      <x:c r="J35" s="149" t="n">
        <x:f t="shared" ref="J35:J39" si="7">SUM(E35:I35)</x:f>
        <x:v>1627758.0000000002</x:v>
      </x:c>
      <x:c r="K35" s="158"/>
      <x:c r="L35" s="107" t="str">
        <x:v>SA-04: 3 FTE × $5000 × 12; ФОТ +30%/год. Начальная разработка входит в этот ФОТ, второй раз не добавляется.</x:v>
      </x:c>
    </x:row>
    <x:row r="36" ht="40" customHeight="1">
      <x:c r="B36" s="124" t="s">
        <x:v>96</x:v>
      </x:c>
      <x:c r="C36" s="125" t="str">
        <x:v>ФОТ</x:v>
      </x:c>
      <x:c r="D36" s="126" t="n">
        <x:v>60000</x:v>
      </x:c>
      <x:c r="E36" s="149" t="n">
        <x:f t="array" ref="E36">IF($D36="","",$D36*INDEX('Допущения'!$C$25:$G$30,MATCH($C36,'Допущения'!$B$25:$B$30,0),1))</x:f>
        <x:v>60000</x:v>
      </x:c>
      <x:c r="F36" s="149" t="n">
        <x:f t="array" ref="F36">IF($D36="","",$D36*INDEX('Допущения'!$C$25:$G$30,MATCH($C36,'Допущения'!$B$25:$B$30,0),2))</x:f>
        <x:v>78000</x:v>
      </x:c>
      <x:c r="G36" s="149" t="n">
        <x:f t="array" ref="G36">IF($D36="","",$D36*INDEX('Допущения'!$C$25:$G$30,MATCH($C36,'Допущения'!$B$25:$B$30,0),3))</x:f>
        <x:v>101400.00000000001</x:v>
      </x:c>
      <x:c r="H36" s="149" t="n">
        <x:f t="array" ref="H36">IF($D36="","",$D36*INDEX('Допущения'!$C$25:$G$30,MATCH($C36,'Допущения'!$B$25:$B$30,0),4))</x:f>
        <x:v>131820.00000000003</x:v>
      </x:c>
      <x:c r="I36" s="149" t="n">
        <x:f t="array" ref="I36">IF($D36="","",$D36*INDEX('Допущения'!$C$25:$G$30,MATCH($C36,'Допущения'!$B$25:$B$30,0),5))</x:f>
        <x:v>171366.00000000006</x:v>
      </x:c>
      <x:c r="J36" s="149" t="n">
        <x:f t="shared" si="7">SUM(E36:I36)</x:f>
        <x:v>542586</x:v>
      </x:c>
      <x:c r="K36" s="158"/>
      <x:c r="L36" s="107" t="str">
        <x:v>SA-04: 1 FTE × $5000 × 12; ФОТ +30%/год. Начальная разработка входит в этот ФОТ, второй раз не добавляется.</x:v>
      </x:c>
    </x:row>
    <x:row r="37" ht="40" customHeight="1">
      <x:c r="B37" s="124" t="s">
        <x:v>97</x:v>
      </x:c>
      <x:c r="C37" s="125" t="str">
        <x:v>ФОТ</x:v>
      </x:c>
      <x:c r="D37" s="126" t="n">
        <x:v>60000</x:v>
      </x:c>
      <x:c r="E37" s="149" t="n">
        <x:f t="array" ref="E37">IF($D37="","",$D37*INDEX('Допущения'!$C$25:$G$30,MATCH($C37,'Допущения'!$B$25:$B$30,0),1))</x:f>
        <x:v>60000</x:v>
      </x:c>
      <x:c r="F37" s="149" t="n">
        <x:f t="array" ref="F37">IF($D37="","",$D37*INDEX('Допущения'!$C$25:$G$30,MATCH($C37,'Допущения'!$B$25:$B$30,0),2))</x:f>
        <x:v>78000</x:v>
      </x:c>
      <x:c r="G37" s="149" t="n">
        <x:f t="array" ref="G37">IF($D37="","",$D37*INDEX('Допущения'!$C$25:$G$30,MATCH($C37,'Допущения'!$B$25:$B$30,0),3))</x:f>
        <x:v>101400.00000000001</x:v>
      </x:c>
      <x:c r="H37" s="149" t="n">
        <x:f t="array" ref="H37">IF($D37="","",$D37*INDEX('Допущения'!$C$25:$G$30,MATCH($C37,'Допущения'!$B$25:$B$30,0),4))</x:f>
        <x:v>131820.00000000003</x:v>
      </x:c>
      <x:c r="I37" s="149" t="n">
        <x:f t="array" ref="I37">IF($D37="","",$D37*INDEX('Допущения'!$C$25:$G$30,MATCH($C37,'Допущения'!$B$25:$B$30,0),5))</x:f>
        <x:v>171366.00000000006</x:v>
      </x:c>
      <x:c r="J37" s="149" t="n">
        <x:f t="shared" si="7">SUM(E37:I37)</x:f>
        <x:v>542586</x:v>
      </x:c>
      <x:c r="K37" s="158"/>
      <x:c r="L37" s="107" t="str">
        <x:v>SA-04: операторы/поддержка, плановая ротация инженеров по вызову. Не доказывает автономный staffed 24/7 центр или 99,99%.</x:v>
      </x:c>
    </x:row>
    <x:row r="38" ht="40" customHeight="1">
      <x:c r="B38" s="124" t="s">
        <x:v>98</x:v>
      </x:c>
      <x:c r="C38" s="125" t="str">
        <x:v>ФОТ</x:v>
      </x:c>
      <x:c r="D38" s="126" t="n">
        <x:v>60000</x:v>
      </x:c>
      <x:c r="E38" s="149" t="n">
        <x:f t="array" ref="E38">IF($D38="","",$D38*INDEX('Допущения'!$C$25:$G$30,MATCH($C38,'Допущения'!$B$25:$B$30,0),1))</x:f>
        <x:v>60000</x:v>
      </x:c>
      <x:c r="F38" s="149" t="n">
        <x:f t="array" ref="F38">IF($D38="","",$D38*INDEX('Допущения'!$C$25:$G$30,MATCH($C38,'Допущения'!$B$25:$B$30,0),2))</x:f>
        <x:v>78000</x:v>
      </x:c>
      <x:c r="G38" s="149" t="n">
        <x:f t="array" ref="G38">IF($D38="","",$D38*INDEX('Допущения'!$C$25:$G$30,MATCH($C38,'Допущения'!$B$25:$B$30,0),3))</x:f>
        <x:v>101400.00000000001</x:v>
      </x:c>
      <x:c r="H38" s="149" t="n">
        <x:f t="array" ref="H38">IF($D38="","",$D38*INDEX('Допущения'!$C$25:$G$30,MATCH($C38,'Допущения'!$B$25:$B$30,0),4))</x:f>
        <x:v>131820.00000000003</x:v>
      </x:c>
      <x:c r="I38" s="149" t="n">
        <x:f t="array" ref="I38">IF($D38="","",$D38*INDEX('Допущения'!$C$25:$G$30,MATCH($C38,'Допущения'!$B$25:$B$30,0),5))</x:f>
        <x:v>171366.00000000006</x:v>
      </x:c>
      <x:c r="J38" s="149" t="n">
        <x:f t="shared" si="7">SUM(E38:I38)</x:f>
        <x:v>542586</x:v>
      </x:c>
      <x:c r="K38" s="158"/>
      <x:c r="L38" s="107" t="str">
        <x:v>SA-04: доля существующих архитектора/CTO; CEO — владелец продукта. Корпоративный ФОТ остальных C-level вне IT-модели.</x:v>
      </x:c>
    </x:row>
    <x:row r="39" ht="40" customHeight="1">
      <x:c r="B39" s="124"/>
      <x:c r="C39" s="125" t="str">
        <x:v>фикс</x:v>
      </x:c>
      <x:c r="D39" s="126" t="n">
        <x:v>0</x:v>
      </x:c>
      <x:c r="E39" s="149" t="str">
        <x:f t="array" ref="E39">IF($D39="","",$D39*INDEX('Допущения'!$C$25:$G$30,MATCH($C39,'Допущения'!$B$25:$B$30,0),1))</x:f>
      </x:c>
      <x:c r="F39" s="149" t="str">
        <x:f t="array" ref="F39">IF($D39="","",$D39*INDEX('Допущения'!$C$25:$G$30,MATCH($C39,'Допущения'!$B$25:$B$30,0),2))</x:f>
      </x:c>
      <x:c r="G39" s="149" t="str">
        <x:f t="array" ref="G39">IF($D39="","",$D39*INDEX('Допущения'!$C$25:$G$30,MATCH($C39,'Допущения'!$B$25:$B$30,0),3))</x:f>
      </x:c>
      <x:c r="H39" s="149" t="str">
        <x:f t="array" ref="H39">IF($D39="","",$D39*INDEX('Допущения'!$C$25:$G$30,MATCH($C39,'Допущения'!$B$25:$B$30,0),4))</x:f>
      </x:c>
      <x:c r="I39" s="149" t="str">
        <x:f t="array" ref="I39">IF($D39="","",$D39*INDEX('Допущения'!$C$25:$G$30,MATCH($C39,'Допущения'!$B$25:$B$30,0),5))</x:f>
      </x:c>
      <x:c r="J39" s="149" t="n">
        <x:f t="shared" si="7">SUM(E39:I39)</x:f>
        <x:v>0</x:v>
      </x:c>
      <x:c r="K39" s="158"/>
      <x:c r="L39" s="107" t="s">
        <x:v>81</x:v>
      </x:c>
    </x:row>
    <x:row r="40" ht="40" customHeight="1">
      <x:c r="B40" s="128" t="s">
        <x:v>82</x:v>
      </x:c>
      <x:c r="C40" s="129"/>
      <x:c r="D40" s="129"/>
      <x:c r="E40" s="150" t="n">
        <x:f t="shared" ref="E40:J40" si="8">SUM(E35:E39)</x:f>
        <x:v>360000</x:v>
      </x:c>
      <x:c r="F40" s="150" t="n">
        <x:f t="shared" si="8">SUM(F35:F39)</x:f>
        <x:v>468000</x:v>
      </x:c>
      <x:c r="G40" s="150" t="n">
        <x:f t="shared" si="8">SUM(G35:G39)</x:f>
        <x:v>608400.0000000001</x:v>
      </x:c>
      <x:c r="H40" s="150" t="n">
        <x:f t="shared" si="8">SUM(H35:H39)</x:f>
        <x:v>790920.0000000001</x:v>
      </x:c>
      <x:c r="I40" s="150" t="n">
        <x:f t="shared" si="8">SUM(I35:I39)</x:f>
        <x:v>1028196.0000000002</x:v>
      </x:c>
      <x:c r="J40" s="150" t="n">
        <x:f t="shared" si="8">SUM(J35:J39)</x:f>
        <x:v>3255516</x:v>
      </x:c>
      <x:c r="K40" s="131" t="n">
        <x:f>IFERROR(J40/$J$51,0)</x:f>
        <x:v>0.08512768462438479</x:v>
      </x:c>
      <x:c r="L40" s="129"/>
    </x:row>
    <x:row r="41" ht="40" customHeight="1">
      <x:c r="B41" s="120"/>
      <x:c r="C41" s="132"/>
      <x:c r="D41" s="120"/>
      <x:c r="E41" s="151"/>
      <x:c r="F41" s="151"/>
      <x:c r="G41" s="151"/>
      <x:c r="H41" s="151"/>
      <x:c r="I41" s="151"/>
      <x:c r="J41" s="151"/>
      <x:c r="K41" s="159"/>
      <x:c r="L41" s="120"/>
    </x:row>
    <x:row r="42" ht="40" customHeight="1">
      <x:c r="B42" s="122" t="s">
        <x:v>99</x:v>
      </x:c>
      <x:c r="C42" s="123"/>
      <x:c r="D42" s="123"/>
      <x:c r="E42" s="152"/>
      <x:c r="F42" s="152"/>
      <x:c r="G42" s="152"/>
      <x:c r="H42" s="152"/>
      <x:c r="I42" s="152"/>
      <x:c r="J42" s="152"/>
      <x:c r="K42" s="160"/>
      <x:c r="L42" s="123"/>
    </x:row>
    <x:row r="43" ht="40" customHeight="1">
      <x:c r="B43" s="124" t="s">
        <x:v>100</x:v>
      </x:c>
      <x:c r="C43" s="125" t="str">
        <x:v>фикс</x:v>
      </x:c>
      <x:c r="D43" s="126" t="n">
        <x:v>35000</x:v>
      </x:c>
      <x:c r="E43" s="149" t="n">
        <x:f t="array" ref="E43">IF($D43="","",$D43*INDEX('Допущения'!$C$25:$G$30,MATCH($C43,'Допущения'!$B$25:$B$30,0),1))</x:f>
        <x:v>35000</x:v>
      </x:c>
      <x:c r="F43" s="153" t="n">
        <x:f t="array" ref="F43"/>
        <x:v>30000</x:v>
      </x:c>
      <x:c r="G43" s="153" t="n">
        <x:f t="array" ref="G43"/>
        <x:v>60000</x:v>
      </x:c>
      <x:c r="H43" s="153" t="n">
        <x:f t="array" ref="H43"/>
        <x:v>60000</x:v>
      </x:c>
      <x:c r="I43" s="153" t="n">
        <x:f t="array" ref="I43"/>
        <x:v>60000</x:v>
      </x:c>
      <x:c r="J43" s="149" t="n">
        <x:f t="shared" ref="J43:J47" si="9">SUM(E43:I43)</x:f>
        <x:v>245000</x:v>
      </x:c>
      <x:c r="K43" s="158"/>
      <x:c r="L43" s="107" t="str">
        <x:v>SA-10: первичный аудит + новые страны/ежегодные проверки. Плановые повторные суммы явно заданы, не автоматическое повторение разовой статьи.</x:v>
      </x:c>
    </x:row>
    <x:row r="44" ht="40" customHeight="1">
      <x:c r="B44" s="124" t="s">
        <x:v>101</x:v>
      </x:c>
      <x:c r="C44" s="125" t="str">
        <x:v>инфляция</x:v>
      </x:c>
      <x:c r="D44" s="126" t="n">
        <x:v>12000</x:v>
      </x:c>
      <x:c r="E44" s="149" t="n">
        <x:f t="array" ref="E44">IF($D44="","",$D44*INDEX('Допущения'!$C$25:$G$30,MATCH($C44,'Допущения'!$B$25:$B$30,0),1))</x:f>
        <x:v>12000</x:v>
      </x:c>
      <x:c r="F44" s="149" t="n">
        <x:f t="array" ref="F44">IF($D44="","",$D44*INDEX('Допущения'!$C$25:$G$30,MATCH($C44,'Допущения'!$B$25:$B$30,0),2))</x:f>
        <x:v>12600</x:v>
      </x:c>
      <x:c r="G44" s="149" t="n">
        <x:f t="array" ref="G44">IF($D44="","",$D44*INDEX('Допущения'!$C$25:$G$30,MATCH($C44,'Допущения'!$B$25:$B$30,0),3))</x:f>
        <x:v>13230</x:v>
      </x:c>
      <x:c r="H44" s="149" t="n">
        <x:f t="array" ref="H44">IF($D44="","",$D44*INDEX('Допущения'!$C$25:$G$30,MATCH($C44,'Допущения'!$B$25:$B$30,0),4))</x:f>
        <x:v>13891.500000000002</x:v>
      </x:c>
      <x:c r="I44" s="149" t="n">
        <x:f t="array" ref="I44">IF($D44="","",$D44*INDEX('Допущения'!$C$25:$G$30,MATCH($C44,'Допущения'!$B$25:$B$30,0),5))</x:f>
        <x:v>14586.075000000003</x:v>
      </x:c>
      <x:c r="J44" s="149" t="n">
        <x:f t="shared" si="9">SUM(E44:I44)</x:f>
        <x:v>66307.575</x:v>
      </x:c>
      <x:c r="K44" s="158"/>
      <x:c r="L44" s="107" t="s">
        <x:v>102</x:v>
      </x:c>
    </x:row>
    <x:row r="45" ht="40" customHeight="1">
      <x:c r="B45" s="124" t="str">
        <x:v>Начальная интеграция / выделение сервисов</x:v>
      </x:c>
      <x:c r="C45" s="125" t="str">
        <x:v>фикс</x:v>
      </x:c>
      <x:c r="D45" s="126" t="n">
        <x:v>10000</x:v>
      </x:c>
      <x:c r="E45" s="149" t="n">
        <x:f t="array" ref="E45">IF($D45="","",$D45*INDEX('Допущения'!$C$25:$G$30,MATCH($C45,'Допущения'!$B$25:$B$30,0),1))</x:f>
        <x:v>10000</x:v>
      </x:c>
      <x:c r="F45" s="153" t="n">
        <x:f t="array" ref="F45"/>
        <x:v>0</x:v>
      </x:c>
      <x:c r="G45" s="153" t="n">
        <x:f t="array" ref="G45"/>
        <x:v>120000</x:v>
      </x:c>
      <x:c r="H45" s="153" t="n">
        <x:f t="array" ref="H45"/>
        <x:v>0</x:v>
      </x:c>
      <x:c r="I45" s="153" t="n">
        <x:f t="array" ref="I45"/>
        <x:v>0</x:v>
      </x:c>
      <x:c r="J45" s="149" t="n">
        <x:f t="shared" si="9">SUM(E45:I45)</x:f>
        <x:v>130000</x:v>
      </x:c>
      <x:c r="K45" s="158"/>
      <x:c r="L45" s="107" t="str">
        <x:v>SA-11: разовый запуск 10000; Год 3 миграция 120000; включает дополнительный подряд, тесты и параллельную среду сверх обычного ФОТ.</x:v>
      </x:c>
    </x:row>
    <x:row r="46" ht="40" customHeight="1">
      <x:c r="B46" s="124" t="s">
        <x:v>103</x:v>
      </x:c>
      <x:c r="C46" s="125" t="str">
        <x:v>ФОТ</x:v>
      </x:c>
      <x:c r="D46" s="126" t="n">
        <x:v>6000</x:v>
      </x:c>
      <x:c r="E46" s="149" t="n">
        <x:f t="array" ref="E46">IF($D46="","",$D46*INDEX('Допущения'!$C$25:$G$30,MATCH($C46,'Допущения'!$B$25:$B$30,0),1))</x:f>
        <x:v>6000</x:v>
      </x:c>
      <x:c r="F46" s="149" t="n">
        <x:f t="array" ref="F46">IF($D46="","",$D46*INDEX('Допущения'!$C$25:$G$30,MATCH($C46,'Допущения'!$B$25:$B$30,0),2))</x:f>
        <x:v>7800</x:v>
      </x:c>
      <x:c r="G46" s="149" t="n">
        <x:f t="array" ref="G46">IF($D46="","",$D46*INDEX('Допущения'!$C$25:$G$30,MATCH($C46,'Допущения'!$B$25:$B$30,0),3))</x:f>
        <x:v>10140.000000000002</x:v>
      </x:c>
      <x:c r="H46" s="149" t="n">
        <x:f t="array" ref="H46">IF($D46="","",$D46*INDEX('Допущения'!$C$25:$G$30,MATCH($C46,'Допущения'!$B$25:$B$30,0),4))</x:f>
        <x:v>13182.000000000004</x:v>
      </x:c>
      <x:c r="I46" s="149" t="n">
        <x:f t="array" ref="I46">IF($D46="","",$D46*INDEX('Допущения'!$C$25:$G$30,MATCH($C46,'Допущения'!$B$25:$B$30,0),5))</x:f>
        <x:v>17136.600000000006</x:v>
      </x:c>
      <x:c r="J46" s="149" t="n">
        <x:f t="shared" si="9">SUM(E46:I46)</x:f>
        <x:v>54258.600000000006</x:v>
      </x:c>
      <x:c r="K46" s="158"/>
      <x:c r="L46" s="107" t="s">
        <x:v>104</x:v>
      </x:c>
    </x:row>
    <x:row r="47" ht="40" customHeight="1">
      <x:c r="B47" s="124" t="str">
        <x:v>Oracle EE: разовые лицензии</x:v>
      </x:c>
      <x:c r="C47" s="125" t="str">
        <x:v>фикс</x:v>
      </x:c>
      <x:c r="D47" s="126" t="n">
        <x:v>0</x:v>
      </x:c>
      <x:c r="E47" s="149" t="str">
        <x:f t="array" ref="E47">IF($D47="","",$D47*INDEX('Допущения'!$C$25:$G$30,MATCH($C47,'Допущения'!$B$25:$B$30,0),1))</x:f>
      </x:c>
      <x:c r="F47" s="153" t="n">
        <x:f t="array" ref="F47"/>
        <x:v>0</x:v>
      </x:c>
      <x:c r="G47" s="153" t="n">
        <x:f t="array" ref="G47"/>
        <x:v>0</x:v>
      </x:c>
      <x:c r="H47" s="153" t="n">
        <x:f t="array" ref="H47"/>
        <x:v>0</x:v>
      </x:c>
      <x:c r="I47" s="153" t="n">
        <x:f t="array" ref="I47"/>
        <x:v>0</x:v>
      </x:c>
      <x:c r="J47" s="149" t="n">
        <x:f t="shared" si="9">SUM(E47:I47)</x:f>
        <x:v>0</x:v>
      </x:c>
      <x:c r="K47" s="158"/>
      <x:c r="L47" s="107" t="str">
        <x:v>Oracle 0 × $47500 = 0. Только Год 1; без RAC/ADG, налогов закупки и скидок. CFO-исключение необходимо для C.</x:v>
      </x:c>
    </x:row>
    <x:row r="48" ht="40" customHeight="1">
      <x:c r="B48" s="128" t="s">
        <x:v>82</x:v>
      </x:c>
      <x:c r="C48" s="129"/>
      <x:c r="D48" s="129"/>
      <x:c r="E48" s="150" t="n">
        <x:f t="shared" ref="E48:J48" si="10">SUM(E43:E47)</x:f>
        <x:v>63000</x:v>
      </x:c>
      <x:c r="F48" s="150" t="n">
        <x:f t="shared" si="10">SUM(F43:F47)</x:f>
        <x:v>50400</x:v>
      </x:c>
      <x:c r="G48" s="150" t="n">
        <x:f t="shared" si="10">SUM(G43:G47)</x:f>
        <x:v>203370</x:v>
      </x:c>
      <x:c r="H48" s="150" t="n">
        <x:f t="shared" si="10">SUM(H43:H47)</x:f>
        <x:v>87073.5</x:v>
      </x:c>
      <x:c r="I48" s="150" t="n">
        <x:f t="shared" si="10">SUM(I43:I47)</x:f>
        <x:v>91722.675</x:v>
      </x:c>
      <x:c r="J48" s="150" t="n">
        <x:f t="shared" si="10">SUM(J43:J47)</x:f>
        <x:v>495566.17500000005</x:v>
      </x:c>
      <x:c r="K48" s="131" t="n">
        <x:f>IFERROR(J48/$J$51,0)</x:f>
        <x:v>0.012958437635051613</x:v>
      </x:c>
      <x:c r="L48" s="129"/>
    </x:row>
    <x:row r="49" ht="40" customHeight="1">
      <x:c r="B49" s="120"/>
      <x:c r="C49" s="132"/>
      <x:c r="D49" s="120"/>
      <x:c r="E49" s="151"/>
      <x:c r="F49" s="151"/>
      <x:c r="G49" s="151"/>
      <x:c r="H49" s="151"/>
      <x:c r="I49" s="151"/>
      <x:c r="J49" s="151"/>
      <x:c r="K49" s="159"/>
      <x:c r="L49" s="120"/>
    </x:row>
    <x:row r="50" ht="40" customHeight="1">
      <x:c r="B50" s="133" t="s">
        <x:v>105</x:v>
      </x:c>
      <x:c r="C50" s="132"/>
      <x:c r="D50" s="120"/>
      <x:c r="E50" s="154" t="n">
        <x:f>(E15+E24+E32+E40+E48)*'Допущения'!$C$17</x:f>
        <x:v>107810</x:v>
      </x:c>
      <x:c r="F50" s="154" t="n">
        <x:f>(F15+F24+F32+F40+F48)*'Допущения'!$C$17</x:f>
        <x:v>244948</x:v>
      </x:c>
      <x:c r="G50" s="154" t="n">
        <x:f>(G15+G24+G32+G40+G48)*'Допущения'!$C$17</x:f>
        <x:v>536435.4</x:v>
      </x:c>
      <x:c r="H50" s="154" t="n">
        <x:f>(H15+H24+H32+H40+H48)*'Допущения'!$C$17</x:f>
        <x:v>988760.6700000002</x:v>
      </x:c>
      <x:c r="I50" s="154" t="n">
        <x:f>(I15+I24+I32+I40+I48)*'Допущения'!$C$17</x:f>
        <x:v>1598658.7535</x:v>
      </x:c>
      <x:c r="J50" s="149" t="n">
        <x:f t="shared" ref="J50:J51" si="12">SUM(E50:I50)</x:f>
        <x:v>3476612.8235000004</x:v>
      </x:c>
      <x:c r="K50" s="159"/>
      <x:c r="L50" s="121" t="s">
        <x:v>106</x:v>
      </x:c>
    </x:row>
    <x:row r="51" ht="40" customHeight="1">
      <x:c r="B51" s="128" t="s">
        <x:v>107</x:v>
      </x:c>
      <x:c r="C51" s="132"/>
      <x:c r="D51" s="120"/>
      <x:c r="E51" s="150" t="n">
        <x:f t="shared" ref="E51:I51" si="11">E15+E24+E32+E40+E48+E50</x:f>
        <x:v>1185910</x:v>
      </x:c>
      <x:c r="F51" s="150" t="n">
        <x:f t="shared" si="11">F15+F24+F32+F40+F48+F50</x:f>
        <x:v>2694428</x:v>
      </x:c>
      <x:c r="G51" s="150" t="n">
        <x:f t="shared" si="11">G15+G24+G32+G40+G48+G50</x:f>
        <x:v>5900789.4</x:v>
      </x:c>
      <x:c r="H51" s="150" t="n">
        <x:f t="shared" si="11">H15+H24+H32+H40+H48+H50</x:f>
        <x:v>10876367.370000001</x:v>
      </x:c>
      <x:c r="I51" s="150" t="n">
        <x:f t="shared" si="11">I15+I24+I32+I40+I48+I50</x:f>
        <x:v>17585246.2885</x:v>
      </x:c>
      <x:c r="J51" s="150" t="n">
        <x:f t="shared" si="12">SUM(E51:I51)</x:f>
        <x:v>38242741.05850001</x:v>
      </x:c>
      <x:c r="K51" s="159"/>
      <x:c r="L51" s="120"/>
    </x:row>
    <x:row r="52" ht="40" customHeight="1">
      <x:c r="B52" s="122" t="s">
        <x:v>108</x:v>
      </x:c>
      <x:c r="C52" s="123"/>
      <x:c r="D52" s="123"/>
      <x:c r="E52" s="152"/>
      <x:c r="F52" s="152"/>
      <x:c r="G52" s="152"/>
      <x:c r="H52" s="152"/>
      <x:c r="I52" s="152"/>
      <x:c r="J52" s="152"/>
      <x:c r="K52" s="160"/>
      <x:c r="L52" s="123"/>
    </x:row>
    <x:row r="53" ht="40" customHeight="1">
      <x:c r="B53" s="124" t="str">
        <x:v>Условная экспозиция простоя (не ожидаемый ущерб)</x:v>
      </x:c>
      <x:c r="C53" s="120"/>
      <x:c r="D53" s="120"/>
      <x:c r="E53" s="154" t="n">
        <x:f>(1-'Допущения'!$C$20)*525600*'Допущения'!$C$19*'Допущения'!$C$21</x:f>
        <x:v>0</x:v>
      </x:c>
      <x:c r="F53" s="154" t="n">
        <x:f>(1-'Допущения'!$C$20)*525600*'Допущения'!$C$19*'Допущения'!$C$21</x:f>
        <x:v>0</x:v>
      </x:c>
      <x:c r="G53" s="154" t="n">
        <x:f>(1-'Допущения'!$C$20)*525600*'Допущения'!$C$19*'Допущения'!$C$21</x:f>
        <x:v>0</x:v>
      </x:c>
      <x:c r="H53" s="154" t="n">
        <x:f>(1-'Допущения'!$C$20)*525600*'Допущения'!$C$19*'Допущения'!$C$21</x:f>
        <x:v>0</x:v>
      </x:c>
      <x:c r="I53" s="154" t="n">
        <x:f>(1-'Допущения'!$C$20)*525600*'Допущения'!$C$19*'Допущения'!$C$21</x:f>
        <x:v>0</x:v>
      </x:c>
      <x:c r="J53" s="149" t="n">
        <x:f t="shared" ref="J53:J54" si="14">SUM(E53:I53)</x:f>
        <x:v>0</x:v>
      </x:c>
      <x:c r="K53" s="159"/>
      <x:c r="L53" s="110" t="str">
        <x:v>При переключателе 1: (1−SLO) × 525600 × $12000, без вероятности. В базе 0; не сертификат надёжности.</x:v>
      </x:c>
    </x:row>
    <x:row r="54" ht="40" customHeight="1">
      <x:c r="B54" s="128" t="s">
        <x:v>109</x:v>
      </x:c>
      <x:c r="C54" s="120"/>
      <x:c r="D54" s="120"/>
      <x:c r="E54" s="150" t="n">
        <x:f t="shared" ref="E54:I54" si="13">E51+E53</x:f>
        <x:v>1185910</x:v>
      </x:c>
      <x:c r="F54" s="150" t="n">
        <x:f t="shared" si="13">F51+F53</x:f>
        <x:v>2694428</x:v>
      </x:c>
      <x:c r="G54" s="150" t="n">
        <x:f t="shared" si="13">G51+G53</x:f>
        <x:v>5900789.4</x:v>
      </x:c>
      <x:c r="H54" s="150" t="n">
        <x:f t="shared" si="13">H51+H53</x:f>
        <x:v>10876367.370000001</x:v>
      </x:c>
      <x:c r="I54" s="150" t="n">
        <x:f t="shared" si="13">I51+I53</x:f>
        <x:v>17585246.2885</x:v>
      </x:c>
      <x:c r="J54" s="150" t="n">
        <x:f t="shared" si="14">SUM(E54:I54)</x:f>
        <x:v>38242741.05850001</x:v>
      </x:c>
      <x:c r="K54" s="159"/>
      <x:c r="L54" s="120"/>
    </x:row>
    <x:row r="55" ht="40" customHeight="1">
      <x:c r="B55" s="124" t="s">
        <x:v>110</x:v>
      </x:c>
      <x:c r="C55" s="120"/>
      <x:c r="D55" s="120"/>
      <x:c r="E55" s="135" t="n">
        <x:f>1/(1+'Допущения'!$C$16)^0</x:f>
        <x:v>1</x:v>
      </x:c>
      <x:c r="F55" s="135" t="n">
        <x:f>1/(1+'Допущения'!$C$16)^1</x:f>
        <x:v>0.8333333333333334</x:v>
      </x:c>
      <x:c r="G55" s="135" t="n">
        <x:f>1/(1+'Допущения'!$C$16)^2</x:f>
        <x:v>0.6944444444444444</x:v>
      </x:c>
      <x:c r="H55" s="135" t="n">
        <x:f>1/(1+'Допущения'!$C$16)^3</x:f>
        <x:v>0.5787037037037038</x:v>
      </x:c>
      <x:c r="I55" s="135" t="n">
        <x:f>1/(1+'Допущения'!$C$16)^4</x:f>
        <x:v>0.4822530864197531</x:v>
      </x:c>
      <x:c r="J55" s="151"/>
      <x:c r="K55" s="159"/>
      <x:c r="L55" s="120"/>
    </x:row>
    <x:row r="56" ht="40" customHeight="1">
      <x:c r="B56" s="128" t="s">
        <x:v>111</x:v>
      </x:c>
      <x:c r="C56" s="120"/>
      <x:c r="D56" s="120"/>
      <x:c r="E56" s="150" t="n">
        <x:f t="shared" ref="E56:I56" si="15">E54*E55</x:f>
        <x:v>1185910</x:v>
      </x:c>
      <x:c r="F56" s="150" t="n">
        <x:f t="shared" si="15">F54*F55</x:f>
        <x:v>2245356.666666667</x:v>
      </x:c>
      <x:c r="G56" s="150" t="n">
        <x:f t="shared" si="15">G54*G55</x:f>
        <x:v>4097770.416666667</x:v>
      </x:c>
      <x:c r="H56" s="150" t="n">
        <x:f t="shared" si="15">H54*H55</x:f>
        <x:v>6294194.079861113</x:v>
      </x:c>
      <x:c r="I56" s="150" t="n">
        <x:f t="shared" si="15">I54*I55</x:f>
        <x:v>8480539.298080632</x:v>
      </x:c>
      <x:c r="J56" s="150" t="n">
        <x:f>SUM(E56:I56)</x:f>
        <x:v>22303770.46127508</x:v>
      </x:c>
      <x:c r="K56" s="159"/>
      <x:c r="L56" s="120"/>
    </x:row>
    <x:row r="57" ht="40" customHeight="1">
      <x:c r="B57" s="120"/>
      <x:c r="C57" s="120"/>
      <x:c r="D57" s="120"/>
      <x:c r="E57" s="151"/>
      <x:c r="F57" s="151"/>
      <x:c r="G57" s="151"/>
      <x:c r="H57" s="151"/>
      <x:c r="I57" s="151"/>
      <x:c r="J57" s="151"/>
      <x:c r="K57" s="159"/>
      <x:c r="L57" s="120"/>
    </x:row>
    <x:row r="58" ht="40" customHeight="1">
      <x:c r="B58" s="122" t="s">
        <x:v>112</x:v>
      </x:c>
      <x:c r="C58" s="123"/>
      <x:c r="D58" s="123"/>
      <x:c r="E58" s="152"/>
      <x:c r="F58" s="152"/>
      <x:c r="G58" s="152"/>
      <x:c r="H58" s="152"/>
      <x:c r="I58" s="152"/>
      <x:c r="J58" s="152"/>
      <x:c r="K58" s="160"/>
      <x:c r="L58" s="123"/>
    </x:row>
    <x:row r="59" ht="40" customHeight="1">
      <x:c r="B59" s="133" t="s">
        <x:v>113</x:v>
      </x:c>
      <x:c r="C59" s="120"/>
      <x:c r="D59" s="120"/>
      <x:c r="E59" s="155" t="n">
        <x:f>J51</x:f>
        <x:v>38242741.05850001</x:v>
      </x:c>
      <x:c r="F59" s="156"/>
      <x:c r="G59" s="151"/>
      <x:c r="H59" s="151"/>
      <x:c r="I59" s="151"/>
      <x:c r="J59" s="151"/>
      <x:c r="K59" s="159"/>
      <x:c r="L59" s="110" t="s">
        <x:v>114</x:v>
      </x:c>
    </x:row>
    <x:row r="60" ht="40" customHeight="1">
      <x:c r="B60" s="133" t="s">
        <x:v>115</x:v>
      </x:c>
      <x:c r="C60" s="120"/>
      <x:c r="D60" s="120"/>
      <x:c r="E60" s="155" t="n">
        <x:f>J54</x:f>
        <x:v>38242741.05850001</x:v>
      </x:c>
      <x:c r="F60" s="156"/>
      <x:c r="G60" s="151"/>
      <x:c r="H60" s="151"/>
      <x:c r="I60" s="151"/>
      <x:c r="J60" s="151"/>
      <x:c r="K60" s="159"/>
      <x:c r="L60" s="110" t="s">
        <x:v>116</x:v>
      </x:c>
    </x:row>
    <x:row r="61" ht="40" customHeight="1">
      <x:c r="B61" s="133" t="s">
        <x:v>117</x:v>
      </x:c>
      <x:c r="C61" s="120"/>
      <x:c r="D61" s="120"/>
      <x:c r="E61" s="155" t="n">
        <x:f>J56</x:f>
        <x:v>22303770.46127508</x:v>
      </x:c>
      <x:c r="F61" s="156"/>
      <x:c r="G61" s="151"/>
      <x:c r="H61" s="151"/>
      <x:c r="I61" s="151"/>
      <x:c r="J61" s="151"/>
      <x:c r="K61" s="159"/>
      <x:c r="L61" s="110" t="str">
        <x:v>Шаблон: расходы в НАЧАЛЕ года. Корректный NPV при оплате в конце года — на «Контроль», строка 9.</x:v>
      </x:c>
    </x:row>
    <x:row r="62" ht="40" customHeight="1">
      <x:c r="B62" s="133" t="s">
        <x:v>118</x:v>
      </x:c>
      <x:c r="C62" s="120"/>
      <x:c r="D62" s="120"/>
      <x:c r="E62" s="155" t="n">
        <x:f>J51/5</x:f>
        <x:v>7648548.211700002</x:v>
      </x:c>
      <x:c r="F62" s="156"/>
      <x:c r="G62" s="151"/>
      <x:c r="H62" s="151"/>
      <x:c r="I62" s="151"/>
      <x:c r="J62" s="151"/>
      <x:c r="K62" s="159"/>
      <x:c r="L62" s="110" t="s">
        <x:v>119</x:v>
      </x:c>
    </x:row>
    <x:row r="63" ht="40" customHeight="1">
      <x:c r="B63" s="133" t="s">
        <x:v>120</x:v>
      </x:c>
      <x:c r="C63" s="120"/>
      <x:c r="D63" s="120"/>
      <x:c r="E63" s="155" t="n">
        <x:f>E15/12</x:f>
        <x:v>7000</x:v>
      </x:c>
      <x:c r="F63" s="156"/>
      <x:c r="G63" s="151"/>
      <x:c r="H63" s="151"/>
      <x:c r="I63" s="151"/>
      <x:c r="J63" s="151"/>
      <x:c r="K63" s="159"/>
      <x:c r="L63" s="110" t="str">
        <x:v>Годовое среднее только инфраструктуры; НЕ месячный лимит первых 6 мес и НЕ все SaaS/SMS. См. «Контроль» строки 13–15.</x:v>
      </x:c>
    </x:row>
    <x:row r="64" ht="40" customHeight="1">
      <x:c r="B64" s="133" t="s">
        <x:v>121</x:v>
      </x:c>
      <x:c r="C64" s="120"/>
      <x:c r="D64" s="120"/>
      <x:c r="E64" s="155" t="str">
        <x:f>IF(E15/12&lt;='Допущения'!$C$18,"В бюджете CFO","ПРЕВЫШЕНИЕ бюджета")</x:f>
        <x:v>ПРЕВЫШЕНИЕ бюджета</x:v>
      </x:c>
      <x:c r="F64" s="156"/>
      <x:c r="G64" s="151"/>
      <x:c r="H64" s="151"/>
      <x:c r="I64" s="151"/>
      <x:c r="J64" s="151"/>
      <x:c r="K64" s="159"/>
      <x:c r="L64" s="110" t="str">
        <x:v>Унаследованная проверка среднего облака; решение CFO принимается по «Контроль», строки 13–15.</x:v>
      </x:c>
    </x:row>
    <x:row r="65" ht="40" customHeight="1">
      <x:c r="B65" s="133" t="s">
        <x:v>122</x:v>
      </x:c>
      <x:c r="C65" s="120"/>
      <x:c r="D65" s="120"/>
      <x:c r="E65" s="157" t="n">
        <x:f>IFERROR(J51/SUM('Допущения'!$C$8:$G$8),0)</x:f>
        <x:v>0.925974359769976</x:v>
      </x:c>
      <x:c r="F65" s="156"/>
      <x:c r="G65" s="151"/>
      <x:c r="H65" s="151"/>
      <x:c r="I65" s="151"/>
      <x:c r="J65" s="151"/>
      <x:c r="K65" s="159"/>
      <x:c r="L65" s="110" t="str">
        <x:v>С резервом и PSP; все заказы 41,3М, тот же 5-летний период. См. месяц запуска/12 в «Контроль».</x:v>
      </x:c>
    </x:row>
    <x:row r="66" ht="40" customHeight="1">
      <x:c r="B66" s="133" t="s">
        <x:v>123</x:v>
      </x:c>
      <x:c r="C66" s="120"/>
      <x:c r="D66" s="120"/>
      <x:c r="E66" s="157" t="n">
        <x:f>IFERROR(I51/'Допущения'!$G$7,0)</x:f>
        <x:v>1.75852462885</x:v>
      </x:c>
      <x:c r="F66" s="156"/>
      <x:c r="G66" s="151"/>
      <x:c r="H66" s="151"/>
      <x:c r="I66" s="151"/>
      <x:c r="J66" s="151"/>
      <x:c r="K66" s="159"/>
      <x:c r="L66" s="110" t="s">
        <x:v>124</x:v>
      </x:c>
    </x:row>
    <x:row r="67" ht="40" customHeight="1">
      <x:c r="B67" s="133" t="s">
        <x:v>125</x:v>
      </x:c>
      <x:c r="C67" s="120"/>
      <x:c r="D67" s="120"/>
      <x:c r="E67" s="141" t="n">
        <x:f>IFERROR(J51/SUM('Допущения'!$C$10:$G$10),0)</x:f>
        <x:v>0.03703897439079904</x:v>
      </x:c>
      <x:c r="F67" s="156"/>
      <x:c r="G67" s="151"/>
      <x:c r="H67" s="151"/>
      <x:c r="I67" s="151"/>
      <x:c r="J67" s="151"/>
      <x:c r="K67" s="159"/>
      <x:c r="L67" s="110" t="s">
        <x:v>126</x:v>
      </x:c>
    </x:row>
    <x:row r="68" ht="40" customHeight="1">
      <x:c r="B68" s="133" t="s">
        <x:v>127</x:v>
      </x:c>
      <x:c r="C68" s="120"/>
      <x:c r="D68" s="120"/>
      <x:c r="E68" s="141" t="n">
        <x:f>IFERROR(J15/J51,0)</x:f>
        <x:v>0.04981739631543885</x:v>
      </x:c>
      <x:c r="F68" s="156"/>
      <x:c r="G68" s="151"/>
      <x:c r="H68" s="151"/>
      <x:c r="I68" s="151"/>
      <x:c r="J68" s="151"/>
      <x:c r="K68" s="159"/>
      <x:c r="L68" s="110" t="s">
        <x:v>128</x:v>
      </x:c>
    </x:row>
    <x:row r="69" ht="40" customHeight="1">
      <x:c r="B69" s="133" t="s">
        <x:v>129</x:v>
      </x:c>
      <x:c r="C69" s="120"/>
      <x:c r="D69" s="120"/>
      <x:c r="E69" s="141" t="n">
        <x:f>IFERROR(J32/J51,0)</x:f>
        <x:v>0.7561338428452649</x:v>
      </x:c>
      <x:c r="F69" s="156"/>
      <x:c r="G69" s="151"/>
      <x:c r="H69" s="151"/>
      <x:c r="I69" s="151"/>
      <x:c r="J69" s="151"/>
      <x:c r="K69" s="159"/>
      <x:c r="L69" s="110" t="s">
        <x:v>130</x:v>
      </x:c>
    </x:row>
    <x:row r="70" ht="40" customHeight="1">
      <x:c r="B70" s="133" t="s">
        <x:v>131</x:v>
      </x:c>
      <x:c r="C70" s="120"/>
      <x:c r="D70" s="120"/>
      <x:c r="E70" s="141" t="n">
        <x:f>IFERROR(J40/J51,0)</x:f>
        <x:v>0.08512768462438479</x:v>
      </x:c>
      <x:c r="F70" s="156"/>
      <x:c r="G70" s="151"/>
      <x:c r="H70" s="151"/>
      <x:c r="I70" s="151"/>
      <x:c r="J70" s="151"/>
      <x:c r="K70" s="159"/>
      <x:c r="L70" s="110" t="s">
        <x:v>132</x:v>
      </x:c>
    </x:row>
    <x:row r="71" ht="40" customHeight="1">
      <x:c r="B71" s="120"/>
      <x:c r="C71" s="120"/>
      <x:c r="D71" s="120"/>
      <x:c r="E71" s="120"/>
      <x:c r="F71" s="120"/>
      <x:c r="G71" s="120"/>
      <x:c r="H71" s="120"/>
      <x:c r="I71" s="120"/>
      <x:c r="J71" s="120"/>
      <x:c r="K71" s="120"/>
      <x:c r="L71" s="120"/>
    </x:row>
    <x:row r="72" ht="40" customHeight="1">
      <x:c r="B72" s="119" t="s">
        <x:v>133</x:v>
      </x:c>
      <x:c r="C72" s="120"/>
      <x:c r="D72" s="120"/>
      <x:c r="E72" s="120"/>
      <x:c r="F72" s="120"/>
      <x:c r="G72" s="120"/>
      <x:c r="H72" s="120"/>
      <x:c r="I72" s="120"/>
      <x:c r="J72" s="120"/>
      <x:c r="K72" s="120"/>
      <x:c r="L72" s="120"/>
    </x:row>
    <x:row r="73" ht="40" customHeight="1">
      <x:c r="B73" s="93" t="str">
        <x:v>Выбор: A, если приняты ограниченный объём и исключения SLO. Минимум команды и ошибочных затрат; обязательная миграция заложена в Год 3.</x:v>
      </x:c>
      <x:c r="C73" s="142"/>
      <x:c r="D73" s="142"/>
      <x:c r="E73" s="142"/>
      <x:c r="F73" s="142"/>
      <x:c r="G73" s="142"/>
      <x:c r="H73" s="142"/>
      <x:c r="I73" s="142"/>
      <x:c r="J73" s="142"/>
      <x:c r="K73" s="142"/>
      <x:c r="L73" s="143"/>
    </x:row>
    <x:row r="74" ht="15.75" customHeight="1">
      <x:c r="B74" s="144"/>
      <x:c r="C74" s="120"/>
      <x:c r="D74" s="120"/>
      <x:c r="E74" s="120"/>
      <x:c r="F74" s="120"/>
      <x:c r="G74" s="120"/>
      <x:c r="H74" s="120"/>
      <x:c r="I74" s="120"/>
      <x:c r="J74" s="120"/>
      <x:c r="K74" s="120"/>
      <x:c r="L74" s="145"/>
    </x:row>
    <x:row r="75" ht="15.75" customHeight="1">
      <x:c r="B75" s="146"/>
      <x:c r="C75" s="147"/>
      <x:c r="D75" s="147"/>
      <x:c r="E75" s="147"/>
      <x:c r="F75" s="147"/>
      <x:c r="G75" s="147"/>
      <x:c r="H75" s="147"/>
      <x:c r="I75" s="147"/>
      <x:c r="J75" s="147"/>
      <x:c r="K75" s="147"/>
      <x:c r="L75" s="148"/>
    </x:row>
    <x:row r="76" ht="15.75" customHeight="1">
      <x:c r="B76" s="120"/>
      <x:c r="C76" s="120"/>
      <x:c r="D76" s="120"/>
      <x:c r="E76" s="120"/>
      <x:c r="F76" s="120"/>
      <x:c r="G76" s="120"/>
      <x:c r="H76" s="120"/>
      <x:c r="I76" s="120"/>
      <x:c r="J76" s="120"/>
      <x:c r="K76" s="120"/>
      <x:c r="L76" s="120"/>
    </x:row>
    <x:row r="77" ht="15.75" customHeight="1">
      <x:c r="B77" s="120"/>
      <x:c r="C77" s="120"/>
      <x:c r="D77" s="120"/>
      <x:c r="E77" s="120"/>
      <x:c r="F77" s="120"/>
      <x:c r="G77" s="120"/>
      <x:c r="H77" s="120"/>
      <x:c r="I77" s="120"/>
      <x:c r="J77" s="120"/>
      <x:c r="K77" s="120"/>
      <x:c r="L77" s="120"/>
    </x:row>
    <x:row r="78" ht="15.75" customHeight="1">
      <x:c r="B78" s="120"/>
      <x:c r="C78" s="120"/>
      <x:c r="D78" s="120"/>
      <x:c r="E78" s="120"/>
      <x:c r="F78" s="120"/>
      <x:c r="G78" s="120"/>
      <x:c r="H78" s="120"/>
      <x:c r="I78" s="120"/>
      <x:c r="J78" s="120"/>
      <x:c r="K78" s="120"/>
      <x:c r="L78" s="120"/>
    </x:row>
    <x:row r="79" ht="15.75" customHeight="1">
      <x:c r="B79" s="120"/>
      <x:c r="C79" s="120"/>
      <x:c r="D79" s="120"/>
      <x:c r="E79" s="120"/>
      <x:c r="F79" s="120"/>
      <x:c r="G79" s="120"/>
      <x:c r="H79" s="120"/>
      <x:c r="I79" s="120"/>
      <x:c r="J79" s="120"/>
      <x:c r="K79" s="120"/>
      <x:c r="L79" s="120"/>
    </x:row>
    <x:row r="80" ht="15.75" customHeight="1">
      <x:c r="B80" s="120"/>
      <x:c r="C80" s="120"/>
      <x:c r="D80" s="120"/>
      <x:c r="E80" s="120"/>
      <x:c r="F80" s="120"/>
      <x:c r="G80" s="120"/>
      <x:c r="H80" s="120"/>
      <x:c r="I80" s="120"/>
      <x:c r="J80" s="120"/>
      <x:c r="K80" s="120"/>
      <x:c r="L80" s="120"/>
    </x:row>
    <x:row r="81" ht="15.75" customHeight="1">
      <x:c r="B81" s="120"/>
      <x:c r="C81" s="120"/>
      <x:c r="D81" s="120"/>
      <x:c r="E81" s="120"/>
      <x:c r="F81" s="120"/>
      <x:c r="G81" s="120"/>
      <x:c r="H81" s="120"/>
      <x:c r="I81" s="120"/>
      <x:c r="J81" s="120"/>
      <x:c r="K81" s="120"/>
      <x:c r="L81" s="120"/>
    </x:row>
    <x:row r="82" ht="15.75" customHeight="1">
      <x:c r="B82" s="120"/>
      <x:c r="C82" s="120"/>
      <x:c r="D82" s="120"/>
      <x:c r="E82" s="120"/>
      <x:c r="F82" s="120"/>
      <x:c r="G82" s="120"/>
      <x:c r="H82" s="120"/>
      <x:c r="I82" s="120"/>
      <x:c r="J82" s="120"/>
      <x:c r="K82" s="120"/>
      <x:c r="L82" s="120"/>
    </x:row>
    <x:row r="83" ht="15.75" customHeight="1">
      <x:c r="B83" s="120"/>
      <x:c r="C83" s="120"/>
      <x:c r="D83" s="120"/>
      <x:c r="E83" s="120"/>
      <x:c r="F83" s="120"/>
      <x:c r="G83" s="120"/>
      <x:c r="H83" s="120"/>
      <x:c r="I83" s="120"/>
      <x:c r="J83" s="120"/>
      <x:c r="K83" s="120"/>
      <x:c r="L83" s="120"/>
    </x:row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C6:C51">
      <x:formula1>"фикс,инфляция,ФОТ,пользователи,заказы,GMV"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49" hidden="0" customWidth="1"/>
    <x:col min="3" max="3" width="1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0" hidden="0" customWidth="1"/>
    <x:col min="12" max="12" width="66" hidden="0" customWidth="1"/>
  </x:cols>
  <x:sheetData>
    <x:row r="2" ht="36" customHeight="1">
      <x:c r="B2" s="119" t="str">
        <x:v>B. Шесть крупных сервисов — TCO на 5 лет (копия приложенного шаблона)</x:v>
      </x:c>
      <x:c r="C2" s="120"/>
      <x:c r="D2" s="120"/>
      <x:c r="E2" s="120"/>
      <x:c r="F2" s="120"/>
      <x:c r="G2" s="120"/>
      <x:c r="H2" s="120"/>
      <x:c r="I2" s="120"/>
      <x:c r="J2" s="120"/>
      <x:c r="K2" s="120"/>
      <x:c r="L2" s="120"/>
    </x:row>
    <x:row r="3" ht="36" customHeight="1">
      <x:c r="B3" s="121" t="str">
        <x:v>База Года 1 и 6 стандартных драйверов. Разовые исключения Годов 2–5 — жёлтые; прочие годы вычисляет шаблон.</x:v>
      </x:c>
      <x:c r="C3" s="120"/>
      <x:c r="D3" s="120"/>
      <x:c r="E3" s="120"/>
      <x:c r="F3" s="120"/>
      <x:c r="G3" s="120"/>
      <x:c r="H3" s="120"/>
      <x:c r="I3" s="120"/>
      <x:c r="J3" s="120"/>
      <x:c r="K3" s="120"/>
      <x:c r="L3" s="120"/>
    </x:row>
    <x:row r="4">
      <x:c r="B4" s="120"/>
      <x:c r="C4" s="120"/>
      <x:c r="D4" s="120"/>
      <x:c r="E4" s="120"/>
      <x:c r="F4" s="120"/>
      <x:c r="G4" s="120"/>
      <x:c r="H4" s="120"/>
      <x:c r="I4" s="120"/>
      <x:c r="J4" s="120"/>
      <x:c r="K4" s="120"/>
      <x:c r="L4" s="120"/>
    </x:row>
    <x:row r="5" ht="40" customHeight="1">
      <x:c r="B5" s="104" t="s">
        <x:v>70</x:v>
      </x:c>
      <x:c r="C5" s="104" t="s">
        <x:v>71</x:v>
      </x:c>
      <x:c r="D5" s="104" t="s">
        <x:v>72</x:v>
      </x:c>
      <x:c r="E5" s="104" t="s">
        <x:v>29</x:v>
      </x:c>
      <x:c r="F5" s="104" t="s">
        <x:v>30</x:v>
      </x:c>
      <x:c r="G5" s="104" t="s">
        <x:v>31</x:v>
      </x:c>
      <x:c r="H5" s="104" t="s">
        <x:v>32</x:v>
      </x:c>
      <x:c r="I5" s="104" t="s">
        <x:v>33</x:v>
      </x:c>
      <x:c r="J5" s="104" t="s">
        <x:v>73</x:v>
      </x:c>
      <x:c r="K5" s="104" t="s">
        <x:v>74</x:v>
      </x:c>
      <x:c r="L5" s="104" t="s">
        <x:v>34</x:v>
      </x:c>
    </x:row>
    <x:row r="6" ht="40" customHeight="1">
      <x:c r="B6" s="122" t="s">
        <x:v>75</x:v>
      </x:c>
      <x:c r="C6" s="123"/>
      <x:c r="D6" s="123"/>
      <x:c r="E6" s="123"/>
      <x:c r="F6" s="123"/>
      <x:c r="G6" s="123"/>
      <x:c r="H6" s="123"/>
      <x:c r="I6" s="123"/>
      <x:c r="J6" s="123"/>
      <x:c r="K6" s="123"/>
      <x:c r="L6" s="123"/>
    </x:row>
    <x:row r="7" ht="40" customHeight="1">
      <x:c r="B7" s="124" t="s">
        <x:v>76</x:v>
      </x:c>
      <x:c r="C7" s="125" t="str">
        <x:v>пользователи</x:v>
      </x:c>
      <x:c r="D7" s="126" t="n">
        <x:v>32400</x:v>
      </x:c>
      <x:c r="E7" s="149" t="n">
        <x:f>IF($D7="","",$D7*INDEX('Допущения'!$C$25:$G$30,MATCH($C7,'Допущения'!$B$25:$B$30,0),1))</x:f>
        <x:v>32400</x:v>
      </x:c>
      <x:c r="F7" s="149" t="n">
        <x:f>IF($D7="","",$D7*INDEX('Допущения'!$C$25:$G$30,MATCH($C7,'Допущения'!$B$25:$B$30,0),2))</x:f>
        <x:v>64800</x:v>
      </x:c>
      <x:c r="G7" s="149" t="n">
        <x:f>IF($D7="","",$D7*INDEX('Допущения'!$C$25:$G$30,MATCH($C7,'Допущения'!$B$25:$B$30,0),3))</x:f>
        <x:v>129600</x:v>
      </x:c>
      <x:c r="H7" s="149" t="n">
        <x:f>IF($D7="","",$D7*INDEX('Допущения'!$C$25:$G$30,MATCH($C7,'Допущения'!$B$25:$B$30,0),4))</x:f>
        <x:v>226800</x:v>
      </x:c>
      <x:c r="I7" s="149" t="n">
        <x:f>IF($D7="","",$D7*INDEX('Допущения'!$C$25:$G$30,MATCH($C7,'Допущения'!$B$25:$B$30,0),5))</x:f>
        <x:v>324000</x:v>
      </x:c>
      <x:c r="J7" s="149" t="n">
        <x:f>SUM(E7:I7)</x:f>
        <x:v>777600</x:v>
      </x:c>
      <x:c r="K7" s="158"/>
      <x:c r="L7" s="107" t="str">
        <x:v>SA-09: 1200/мес первые 6 мес; база года × 2.25. Годы 2–5: линейный прокси пользователей. Quote/нагрузочный тест обязательны.</x:v>
      </x:c>
    </x:row>
    <x:row r="8" ht="40" customHeight="1">
      <x:c r="B8" s="124" t="str">
        <x:v>БД: compute/storage (без лицензии Oracle)</x:v>
      </x:c>
      <x:c r="C8" s="125" t="str">
        <x:v>пользователи</x:v>
      </x:c>
      <x:c r="D8" s="126" t="n">
        <x:v>27000</x:v>
      </x:c>
      <x:c r="E8" s="149" t="n">
        <x:f>IF($D8="","",$D8*INDEX('Допущения'!$C$25:$G$30,MATCH($C8,'Допущения'!$B$25:$B$30,0),1))</x:f>
        <x:v>27000</x:v>
      </x:c>
      <x:c r="F8" s="149" t="n">
        <x:f>IF($D8="","",$D8*INDEX('Допущения'!$C$25:$G$30,MATCH($C8,'Допущения'!$B$25:$B$30,0),2))</x:f>
        <x:v>54000</x:v>
      </x:c>
      <x:c r="G8" s="149" t="n">
        <x:f>IF($D8="","",$D8*INDEX('Допущения'!$C$25:$G$30,MATCH($C8,'Допущения'!$B$25:$B$30,0),3))</x:f>
        <x:v>108000</x:v>
      </x:c>
      <x:c r="H8" s="149" t="n">
        <x:f>IF($D8="","",$D8*INDEX('Допущения'!$C$25:$G$30,MATCH($C8,'Допущения'!$B$25:$B$30,0),4))</x:f>
        <x:v>189000</x:v>
      </x:c>
      <x:c r="I8" s="149" t="n">
        <x:f>IF($D8="","",$D8*INDEX('Допущения'!$C$25:$G$30,MATCH($C8,'Допущения'!$B$25:$B$30,0),5))</x:f>
        <x:v>270000</x:v>
      </x:c>
      <x:c r="J8" s="149" t="n">
        <x:f>SUM(E8:I8)</x:f>
        <x:v>648000</x:v>
      </x:c>
      <x:c r="K8" s="158"/>
      <x:c r="L8" s="107" t="str">
        <x:v>SA-09: 1000/мес первые 6 мес; база года × 2.25. Годы 2–5: линейный прокси пользователей. Quote/нагрузочный тест обязательны.</x:v>
      </x:c>
    </x:row>
    <x:row r="9" ht="40" customHeight="1">
      <x:c r="B9" s="124" t="s">
        <x:v>77</x:v>
      </x:c>
      <x:c r="C9" s="125" t="str">
        <x:v>пользователи</x:v>
      </x:c>
      <x:c r="D9" s="126" t="n">
        <x:v>4050</x:v>
      </x:c>
      <x:c r="E9" s="149" t="n">
        <x:f>IF($D9="","",$D9*INDEX('Допущения'!$C$25:$G$30,MATCH($C9,'Допущения'!$B$25:$B$30,0),1))</x:f>
        <x:v>4050</x:v>
      </x:c>
      <x:c r="F9" s="149" t="n">
        <x:f>IF($D9="","",$D9*INDEX('Допущения'!$C$25:$G$30,MATCH($C9,'Допущения'!$B$25:$B$30,0),2))</x:f>
        <x:v>8100</x:v>
      </x:c>
      <x:c r="G9" s="149" t="n">
        <x:f>IF($D9="","",$D9*INDEX('Допущения'!$C$25:$G$30,MATCH($C9,'Допущения'!$B$25:$B$30,0),3))</x:f>
        <x:v>16200</x:v>
      </x:c>
      <x:c r="H9" s="149" t="n">
        <x:f>IF($D9="","",$D9*INDEX('Допущения'!$C$25:$G$30,MATCH($C9,'Допущения'!$B$25:$B$30,0),4))</x:f>
        <x:v>28350</x:v>
      </x:c>
      <x:c r="I9" s="149" t="n">
        <x:f>IF($D9="","",$D9*INDEX('Допущения'!$C$25:$G$30,MATCH($C9,'Допущения'!$B$25:$B$30,0),5))</x:f>
        <x:v>40500</x:v>
      </x:c>
      <x:c r="J9" s="149" t="n">
        <x:f>SUM(E9:I9)</x:f>
        <x:v>97200</x:v>
      </x:c>
      <x:c r="K9" s="158"/>
      <x:c r="L9" s="107" t="str">
        <x:v>SA-09: 150/мес первые 6 мес; база года × 2.25. Годы 2–5: линейный прокси пользователей. Quote/нагрузочный тест обязательны.</x:v>
      </x:c>
    </x:row>
    <x:row r="10" ht="40" customHeight="1">
      <x:c r="B10" s="124" t="s">
        <x:v>78</x:v>
      </x:c>
      <x:c r="C10" s="125" t="str">
        <x:v>пользователи</x:v>
      </x:c>
      <x:c r="D10" s="126" t="n">
        <x:v>5400</x:v>
      </x:c>
      <x:c r="E10" s="149" t="n">
        <x:f>IF($D10="","",$D10*INDEX('Допущения'!$C$25:$G$30,MATCH($C10,'Допущения'!$B$25:$B$30,0),1))</x:f>
        <x:v>5400</x:v>
      </x:c>
      <x:c r="F10" s="149" t="n">
        <x:f>IF($D10="","",$D10*INDEX('Допущения'!$C$25:$G$30,MATCH($C10,'Допущения'!$B$25:$B$30,0),2))</x:f>
        <x:v>10800</x:v>
      </x:c>
      <x:c r="G10" s="149" t="n">
        <x:f>IF($D10="","",$D10*INDEX('Допущения'!$C$25:$G$30,MATCH($C10,'Допущения'!$B$25:$B$30,0),3))</x:f>
        <x:v>21600</x:v>
      </x:c>
      <x:c r="H10" s="149" t="n">
        <x:f>IF($D10="","",$D10*INDEX('Допущения'!$C$25:$G$30,MATCH($C10,'Допущения'!$B$25:$B$30,0),4))</x:f>
        <x:v>37800</x:v>
      </x:c>
      <x:c r="I10" s="149" t="n">
        <x:f>IF($D10="","",$D10*INDEX('Допущения'!$C$25:$G$30,MATCH($C10,'Допущения'!$B$25:$B$30,0),5))</x:f>
        <x:v>54000</x:v>
      </x:c>
      <x:c r="J10" s="149" t="n">
        <x:f>SUM(E10:I10)</x:f>
        <x:v>129600</x:v>
      </x:c>
      <x:c r="K10" s="158"/>
      <x:c r="L10" s="107" t="str">
        <x:v>SA-09: 200/мес первые 6 мес; база года × 2.25. Годы 2–5: линейный прокси пользователей. Quote/нагрузочный тест обязательны.</x:v>
      </x:c>
    </x:row>
    <x:row r="11" ht="40" customHeight="1">
      <x:c r="B11" s="124" t="s">
        <x:v>79</x:v>
      </x:c>
      <x:c r="C11" s="125" t="str">
        <x:v>пользователи</x:v>
      </x:c>
      <x:c r="D11" s="126" t="n">
        <x:v>4050</x:v>
      </x:c>
      <x:c r="E11" s="149" t="n">
        <x:f>IF($D11="","",$D11*INDEX('Допущения'!$C$25:$G$30,MATCH($C11,'Допущения'!$B$25:$B$30,0),1))</x:f>
        <x:v>4050</x:v>
      </x:c>
      <x:c r="F11" s="149" t="n">
        <x:f>IF($D11="","",$D11*INDEX('Допущения'!$C$25:$G$30,MATCH($C11,'Допущения'!$B$25:$B$30,0),2))</x:f>
        <x:v>8100</x:v>
      </x:c>
      <x:c r="G11" s="149" t="n">
        <x:f>IF($D11="","",$D11*INDEX('Допущения'!$C$25:$G$30,MATCH($C11,'Допущения'!$B$25:$B$30,0),3))</x:f>
        <x:v>16200</x:v>
      </x:c>
      <x:c r="H11" s="149" t="n">
        <x:f>IF($D11="","",$D11*INDEX('Допущения'!$C$25:$G$30,MATCH($C11,'Допущения'!$B$25:$B$30,0),4))</x:f>
        <x:v>28350</x:v>
      </x:c>
      <x:c r="I11" s="149" t="n">
        <x:f>IF($D11="","",$D11*INDEX('Допущения'!$C$25:$G$30,MATCH($C11,'Допущения'!$B$25:$B$30,0),5))</x:f>
        <x:v>40500</x:v>
      </x:c>
      <x:c r="J11" s="149" t="n">
        <x:f>SUM(E11:I11)</x:f>
        <x:v>97200</x:v>
      </x:c>
      <x:c r="K11" s="158"/>
      <x:c r="L11" s="107" t="str">
        <x:v>SA-09: 150/мес первые 6 мес; база года × 2.25. Годы 2–5: линейный прокси пользователей. Quote/нагрузочный тест обязательны.</x:v>
      </x:c>
    </x:row>
    <x:row r="12" ht="40" customHeight="1">
      <x:c r="B12" s="124" t="s">
        <x:v>80</x:v>
      </x:c>
      <x:c r="C12" s="125" t="str">
        <x:v>пользователи</x:v>
      </x:c>
      <x:c r="D12" s="126" t="n">
        <x:v>14850</x:v>
      </x:c>
      <x:c r="E12" s="149" t="n">
        <x:f>IF($D12="","",$D12*INDEX('Допущения'!$C$25:$G$30,MATCH($C12,'Допущения'!$B$25:$B$30,0),1))</x:f>
        <x:v>14850</x:v>
      </x:c>
      <x:c r="F12" s="149" t="n">
        <x:f>IF($D12="","",$D12*INDEX('Допущения'!$C$25:$G$30,MATCH($C12,'Допущения'!$B$25:$B$30,0),2))</x:f>
        <x:v>29700</x:v>
      </x:c>
      <x:c r="G12" s="149" t="n">
        <x:f>IF($D12="","",$D12*INDEX('Допущения'!$C$25:$G$30,MATCH($C12,'Допущения'!$B$25:$B$30,0),3))</x:f>
        <x:v>59400</x:v>
      </x:c>
      <x:c r="H12" s="149" t="n">
        <x:f>IF($D12="","",$D12*INDEX('Допущения'!$C$25:$G$30,MATCH($C12,'Допущения'!$B$25:$B$30,0),4))</x:f>
        <x:v>103950</x:v>
      </x:c>
      <x:c r="I12" s="149" t="n">
        <x:f>IF($D12="","",$D12*INDEX('Допущения'!$C$25:$G$30,MATCH($C12,'Допущения'!$B$25:$B$30,0),5))</x:f>
        <x:v>148500</x:v>
      </x:c>
      <x:c r="J12" s="149" t="n">
        <x:f>SUM(E12:I12)</x:f>
        <x:v>356400</x:v>
      </x:c>
      <x:c r="K12" s="158"/>
      <x:c r="L12" s="107" t="str">
        <x:v>SA-09: 550/мес первые 6 мес; база года × 2.25. Годы 2–5: линейный прокси пользователей. Quote/нагрузочный тест обязательны.</x:v>
      </x:c>
    </x:row>
    <x:row r="13" ht="40" customHeight="1">
      <x:c r="B13" s="124" t="str">
        <x:v>Локальные площадки: каналы и site fees</x:v>
      </x:c>
      <x:c r="C13" s="125" t="str">
        <x:v>инфляция</x:v>
      </x:c>
      <x:c r="D13" s="126" t="n">
        <x:v>6000</x:v>
      </x:c>
      <x:c r="E13" s="149" t="n">
        <x:f>IF($D13="","",$D13*INDEX('Допущения'!$C$25:$G$30,MATCH($C13,'Допущения'!$B$25:$B$30,0),1))</x:f>
        <x:v>6000</x:v>
      </x:c>
      <x:c r="F13" s="149" t="n">
        <x:f>IF($D13="","",$D13*INDEX('Допущения'!$C$25:$G$30,MATCH($C13,'Допущения'!$B$25:$B$30,0),2))</x:f>
        <x:v>6300</x:v>
      </x:c>
      <x:c r="G13" s="149" t="n">
        <x:f>IF($D13="","",$D13*INDEX('Допущения'!$C$25:$G$30,MATCH($C13,'Допущения'!$B$25:$B$30,0),3))</x:f>
        <x:v>6615</x:v>
      </x:c>
      <x:c r="H13" s="149" t="n">
        <x:f>IF($D13="","",$D13*INDEX('Допущения'!$C$25:$G$30,MATCH($C13,'Допущения'!$B$25:$B$30,0),4))</x:f>
        <x:v>6945.750000000001</x:v>
      </x:c>
      <x:c r="I13" s="149" t="n">
        <x:f>IF($D13="","",$D13*INDEX('Допущения'!$C$25:$G$30,MATCH($C13,'Допущения'!$B$25:$B$30,0),5))</x:f>
        <x:v>7293.037500000001</x:v>
      </x:c>
      <x:c r="J13" s="149" t="n">
        <x:f>SUM(E13:I13)</x:f>
        <x:v>33153.7875</x:v>
      </x:c>
      <x:c r="K13" s="158"/>
      <x:c r="L13" s="107" t="str">
        <x:v>SA-09: только каналы/площадка; VM и диски уже в Compute/БД — без двойного счёта. Страна хранения согласно временной политике A3 с.1–2.</x:v>
      </x:c>
    </x:row>
    <x:row r="14" ht="40" customHeight="1">
      <x:c r="B14" s="124"/>
      <x:c r="C14" s="125" t="str">
        <x:v>фикс</x:v>
      </x:c>
      <x:c r="D14" s="126" t="n">
        <x:v>0</x:v>
      </x:c>
      <x:c r="E14" s="149" t="str">
        <x:f>IF($D14="","",$D14*INDEX('Допущения'!$C$25:$G$30,MATCH($C14,'Допущения'!$B$25:$B$30,0),1))</x:f>
      </x:c>
      <x:c r="F14" s="149" t="str">
        <x:f>IF($D14="","",$D14*INDEX('Допущения'!$C$25:$G$30,MATCH($C14,'Допущения'!$B$25:$B$30,0),2))</x:f>
      </x:c>
      <x:c r="G14" s="149" t="str">
        <x:f>IF($D14="","",$D14*INDEX('Допущения'!$C$25:$G$30,MATCH($C14,'Допущения'!$B$25:$B$30,0),3))</x:f>
      </x:c>
      <x:c r="H14" s="149" t="str">
        <x:f>IF($D14="","",$D14*INDEX('Допущения'!$C$25:$G$30,MATCH($C14,'Допущения'!$B$25:$B$30,0),4))</x:f>
      </x:c>
      <x:c r="I14" s="149" t="str">
        <x:f>IF($D14="","",$D14*INDEX('Допущения'!$C$25:$G$30,MATCH($C14,'Допущения'!$B$25:$B$30,0),5))</x:f>
      </x:c>
      <x:c r="J14" s="149" t="n">
        <x:f>SUM(E14:I14)</x:f>
        <x:v>0</x:v>
      </x:c>
      <x:c r="K14" s="158"/>
      <x:c r="L14" s="107" t="s">
        <x:v>81</x:v>
      </x:c>
    </x:row>
    <x:row r="15" ht="40" customHeight="1">
      <x:c r="B15" s="128" t="s">
        <x:v>82</x:v>
      </x:c>
      <x:c r="C15" s="129"/>
      <x:c r="D15" s="129"/>
      <x:c r="E15" s="150" t="n">
        <x:f>SUM(E7:E14)</x:f>
        <x:v>93750</x:v>
      </x:c>
      <x:c r="F15" s="150" t="n">
        <x:f>SUM(F7:F14)</x:f>
        <x:v>181800</x:v>
      </x:c>
      <x:c r="G15" s="150" t="n">
        <x:f>SUM(G7:G14)</x:f>
        <x:v>357615</x:v>
      </x:c>
      <x:c r="H15" s="150" t="n">
        <x:f>SUM(H7:H14)</x:f>
        <x:v>621195.75</x:v>
      </x:c>
      <x:c r="I15" s="150" t="n">
        <x:f>SUM(I7:I14)</x:f>
        <x:v>884793.0375</x:v>
      </x:c>
      <x:c r="J15" s="150" t="n">
        <x:f>SUM(J7:J14)</x:f>
        <x:v>2139153.7875</x:v>
      </x:c>
      <x:c r="K15" s="131" t="n">
        <x:f>IFERROR(J15/$J$51,0)</x:f>
        <x:v>0.0537982006570508</x:v>
      </x:c>
      <x:c r="L15" s="129"/>
    </x:row>
    <x:row r="16" ht="40" customHeight="1">
      <x:c r="B16" s="120"/>
      <x:c r="C16" s="132"/>
      <x:c r="D16" s="120"/>
      <x:c r="E16" s="151"/>
      <x:c r="F16" s="151"/>
      <x:c r="G16" s="151"/>
      <x:c r="H16" s="151"/>
      <x:c r="I16" s="151"/>
      <x:c r="J16" s="151"/>
      <x:c r="K16" s="159"/>
      <x:c r="L16" s="120"/>
    </x:row>
    <x:row r="17" ht="40" customHeight="1">
      <x:c r="B17" s="122" t="s">
        <x:v>83</x:v>
      </x:c>
      <x:c r="C17" s="123"/>
      <x:c r="D17" s="123"/>
      <x:c r="E17" s="152"/>
      <x:c r="F17" s="152"/>
      <x:c r="G17" s="152"/>
      <x:c r="H17" s="152"/>
      <x:c r="I17" s="152"/>
      <x:c r="J17" s="152"/>
      <x:c r="K17" s="160"/>
      <x:c r="L17" s="123"/>
    </x:row>
    <x:row r="18" ht="40" customHeight="1">
      <x:c r="B18" s="124" t="s">
        <x:v>84</x:v>
      </x:c>
      <x:c r="C18" s="125" t="str">
        <x:v>пользователи</x:v>
      </x:c>
      <x:c r="D18" s="126" t="n">
        <x:v>6750</x:v>
      </x:c>
      <x:c r="E18" s="149" t="n">
        <x:f>IF($D18="","",$D18*INDEX('Допущения'!$C$25:$G$30,MATCH($C18,'Допущения'!$B$25:$B$30,0),1))</x:f>
        <x:v>6750</x:v>
      </x:c>
      <x:c r="F18" s="149" t="n">
        <x:f>IF($D18="","",$D18*INDEX('Допущения'!$C$25:$G$30,MATCH($C18,'Допущения'!$B$25:$B$30,0),2))</x:f>
        <x:v>13500</x:v>
      </x:c>
      <x:c r="G18" s="149" t="n">
        <x:f>IF($D18="","",$D18*INDEX('Допущения'!$C$25:$G$30,MATCH($C18,'Допущения'!$B$25:$B$30,0),3))</x:f>
        <x:v>27000</x:v>
      </x:c>
      <x:c r="H18" s="149" t="n">
        <x:f>IF($D18="","",$D18*INDEX('Допущения'!$C$25:$G$30,MATCH($C18,'Допущения'!$B$25:$B$30,0),4))</x:f>
        <x:v>47250</x:v>
      </x:c>
      <x:c r="I18" s="149" t="n">
        <x:f>IF($D18="","",$D18*INDEX('Допущения'!$C$25:$G$30,MATCH($C18,'Допущения'!$B$25:$B$30,0),5))</x:f>
        <x:v>67500</x:v>
      </x:c>
      <x:c r="J18" s="149" t="n">
        <x:f>SUM(E18:I18)</x:f>
        <x:v>162000</x:v>
      </x:c>
      <x:c r="K18" s="158"/>
      <x:c r="L18" s="107" t="str">
        <x:v>SA-09: 250/мес первые 6 мес; база года × 2.25. Годы 2–5: линейный прокси пользователей. Quote/нагрузочный тест обязательны.</x:v>
      </x:c>
    </x:row>
    <x:row r="19" ht="40" customHeight="1">
      <x:c r="B19" s="124" t="s">
        <x:v>85</x:v>
      </x:c>
      <x:c r="C19" s="125" t="str">
        <x:v>инфляция</x:v>
      </x:c>
      <x:c r="D19" s="126" t="n">
        <x:v>1200</x:v>
      </x:c>
      <x:c r="E19" s="149" t="n">
        <x:f>IF($D19="","",$D19*INDEX('Допущения'!$C$25:$G$30,MATCH($C19,'Допущения'!$B$25:$B$30,0),1))</x:f>
        <x:v>1200</x:v>
      </x:c>
      <x:c r="F19" s="149" t="n">
        <x:f>IF($D19="","",$D19*INDEX('Допущения'!$C$25:$G$30,MATCH($C19,'Допущения'!$B$25:$B$30,0),2))</x:f>
        <x:v>1260</x:v>
      </x:c>
      <x:c r="G19" s="149" t="n">
        <x:f>IF($D19="","",$D19*INDEX('Допущения'!$C$25:$G$30,MATCH($C19,'Допущения'!$B$25:$B$30,0),3))</x:f>
        <x:v>1323</x:v>
      </x:c>
      <x:c r="H19" s="149" t="n">
        <x:f>IF($D19="","",$D19*INDEX('Допущения'!$C$25:$G$30,MATCH($C19,'Допущения'!$B$25:$B$30,0),4))</x:f>
        <x:v>1389.15</x:v>
      </x:c>
      <x:c r="I19" s="149" t="n">
        <x:f>IF($D19="","",$D19*INDEX('Допущения'!$C$25:$G$30,MATCH($C19,'Допущения'!$B$25:$B$30,0),5))</x:f>
        <x:v>1458.6075000000003</x:v>
      </x:c>
      <x:c r="J19" s="149" t="n">
        <x:f>SUM(E19:I19)</x:f>
        <x:v>6630.7575</x:v>
      </x:c>
      <x:c r="K19" s="158"/>
      <x:c r="L19" s="107" t="s">
        <x:v>86</x:v>
      </x:c>
    </x:row>
    <x:row r="20" ht="40" customHeight="1">
      <x:c r="B20" s="124" t="s">
        <x:v>87</x:v>
      </x:c>
      <x:c r="C20" s="125" t="str">
        <x:v>пользователи</x:v>
      </x:c>
      <x:c r="D20" s="126" t="n">
        <x:v>4050</x:v>
      </x:c>
      <x:c r="E20" s="149" t="n">
        <x:f>IF($D20="","",$D20*INDEX('Допущения'!$C$25:$G$30,MATCH($C20,'Допущения'!$B$25:$B$30,0),1))</x:f>
        <x:v>4050</x:v>
      </x:c>
      <x:c r="F20" s="149" t="n">
        <x:f>IF($D20="","",$D20*INDEX('Допущения'!$C$25:$G$30,MATCH($C20,'Допущения'!$B$25:$B$30,0),2))</x:f>
        <x:v>8100</x:v>
      </x:c>
      <x:c r="G20" s="149" t="n">
        <x:f>IF($D20="","",$D20*INDEX('Допущения'!$C$25:$G$30,MATCH($C20,'Допущения'!$B$25:$B$30,0),3))</x:f>
        <x:v>16200</x:v>
      </x:c>
      <x:c r="H20" s="149" t="n">
        <x:f>IF($D20="","",$D20*INDEX('Допущения'!$C$25:$G$30,MATCH($C20,'Допущения'!$B$25:$B$30,0),4))</x:f>
        <x:v>28350</x:v>
      </x:c>
      <x:c r="I20" s="149" t="n">
        <x:f>IF($D20="","",$D20*INDEX('Допущения'!$C$25:$G$30,MATCH($C20,'Допущения'!$B$25:$B$30,0),5))</x:f>
        <x:v>40500</x:v>
      </x:c>
      <x:c r="J20" s="149" t="n">
        <x:f>SUM(E20:I20)</x:f>
        <x:v>97200</x:v>
      </x:c>
      <x:c r="K20" s="158"/>
      <x:c r="L20" s="107" t="str">
        <x:v>SA-09: 150/мес первые 6 мес; база года × 2.25. Годы 2–5: линейный прокси пользователей. Quote/нагрузочный тест обязательны.</x:v>
      </x:c>
    </x:row>
    <x:row r="21" ht="40" customHeight="1">
      <x:c r="B21" s="124" t="str">
        <x:v>WhatsApp/BSP: постоянная плата</x:v>
      </x:c>
      <x:c r="C21" s="125" t="str">
        <x:v>инфляция</x:v>
      </x:c>
      <x:c r="D21" s="126" t="n">
        <x:v>600</x:v>
      </x:c>
      <x:c r="E21" s="149" t="n">
        <x:f>IF($D21="","",$D21*INDEX('Допущения'!$C$25:$G$30,MATCH($C21,'Допущения'!$B$25:$B$30,0),1))</x:f>
        <x:v>600</x:v>
      </x:c>
      <x:c r="F21" s="149" t="n">
        <x:f>IF($D21="","",$D21*INDEX('Допущения'!$C$25:$G$30,MATCH($C21,'Допущения'!$B$25:$B$30,0),2))</x:f>
        <x:v>630</x:v>
      </x:c>
      <x:c r="G21" s="149" t="n">
        <x:f>IF($D21="","",$D21*INDEX('Допущения'!$C$25:$G$30,MATCH($C21,'Допущения'!$B$25:$B$30,0),3))</x:f>
        <x:v>661.5</x:v>
      </x:c>
      <x:c r="H21" s="149" t="n">
        <x:f>IF($D21="","",$D21*INDEX('Допущения'!$C$25:$G$30,MATCH($C21,'Допущения'!$B$25:$B$30,0),4))</x:f>
        <x:v>694.575</x:v>
      </x:c>
      <x:c r="I21" s="149" t="n">
        <x:f>IF($D21="","",$D21*INDEX('Допущения'!$C$25:$G$30,MATCH($C21,'Допущения'!$B$25:$B$30,0),5))</x:f>
        <x:v>729.3037500000002</x:v>
      </x:c>
      <x:c r="J21" s="149" t="n">
        <x:f>SUM(E21:I21)</x:f>
        <x:v>3315.37875</x:v>
      </x:c>
      <x:c r="K21" s="158"/>
      <x:c r="L21" s="107" t="s">
        <x:v>88</x:v>
      </x:c>
    </x:row>
    <x:row r="22" ht="40" customHeight="1">
      <x:c r="B22" s="124" t="s">
        <x:v>89</x:v>
      </x:c>
      <x:c r="C22" s="125" t="str">
        <x:v>инфляция</x:v>
      </x:c>
      <x:c r="D22" s="126" t="n">
        <x:v>600</x:v>
      </x:c>
      <x:c r="E22" s="149" t="n">
        <x:f>IF($D22="","",$D22*INDEX('Допущения'!$C$25:$G$30,MATCH($C22,'Допущения'!$B$25:$B$30,0),1))</x:f>
        <x:v>600</x:v>
      </x:c>
      <x:c r="F22" s="149" t="n">
        <x:f>IF($D22="","",$D22*INDEX('Допущения'!$C$25:$G$30,MATCH($C22,'Допущения'!$B$25:$B$30,0),2))</x:f>
        <x:v>630</x:v>
      </x:c>
      <x:c r="G22" s="149" t="n">
        <x:f>IF($D22="","",$D22*INDEX('Допущения'!$C$25:$G$30,MATCH($C22,'Допущения'!$B$25:$B$30,0),3))</x:f>
        <x:v>661.5</x:v>
      </x:c>
      <x:c r="H22" s="149" t="n">
        <x:f>IF($D22="","",$D22*INDEX('Допущения'!$C$25:$G$30,MATCH($C22,'Допущения'!$B$25:$B$30,0),4))</x:f>
        <x:v>694.575</x:v>
      </x:c>
      <x:c r="I22" s="149" t="n">
        <x:f>IF($D22="","",$D22*INDEX('Допущения'!$C$25:$G$30,MATCH($C22,'Допущения'!$B$25:$B$30,0),5))</x:f>
        <x:v>729.3037500000002</x:v>
      </x:c>
      <x:c r="J22" s="149" t="n">
        <x:f>SUM(E22:I22)</x:f>
        <x:v>3315.37875</x:v>
      </x:c>
      <x:c r="K22" s="158"/>
      <x:c r="L22" s="107" t="s">
        <x:v>90</x:v>
      </x:c>
    </x:row>
    <x:row r="23" ht="40" customHeight="1">
      <x:c r="B23" s="124" t="str">
        <x:v>Oracle EE: ежегодная поддержка</x:v>
      </x:c>
      <x:c r="C23" s="125" t="str">
        <x:v>инфляция</x:v>
      </x:c>
      <x:c r="D23" s="126" t="n">
        <x:v>0</x:v>
      </x:c>
      <x:c r="E23" s="149" t="str">
        <x:f>IF($D23="","",$D23*INDEX('Допущения'!$C$25:$G$30,MATCH($C23,'Допущения'!$B$25:$B$30,0),1))</x:f>
      </x:c>
      <x:c r="F23" s="149" t="str">
        <x:f>IF($D23="","",$D23*INDEX('Допущения'!$C$25:$G$30,MATCH($C23,'Допущения'!$B$25:$B$30,0),2))</x:f>
      </x:c>
      <x:c r="G23" s="149" t="str">
        <x:f>IF($D23="","",$D23*INDEX('Допущения'!$C$25:$G$30,MATCH($C23,'Допущения'!$B$25:$B$30,0),3))</x:f>
      </x:c>
      <x:c r="H23" s="149" t="str">
        <x:f>IF($D23="","",$D23*INDEX('Допущения'!$C$25:$G$30,MATCH($C23,'Допущения'!$B$25:$B$30,0),4))</x:f>
      </x:c>
      <x:c r="I23" s="149" t="str">
        <x:f>IF($D23="","",$D23*INDEX('Допущения'!$C$25:$G$30,MATCH($C23,'Допущения'!$B$25:$B$30,0),5))</x:f>
      </x:c>
      <x:c r="J23" s="149" t="n">
        <x:f>SUM(E23:I23)</x:f>
        <x:v>0</x:v>
      </x:c>
      <x:c r="K23" s="158"/>
      <x:c r="L23" s="107" t="str">
        <x:v>Oracle 0 Processor × $10450; вариант EE допущен для сравнения, не требование A5. Лицензирование/опции требуют quote.</x:v>
      </x:c>
    </x:row>
    <x:row r="24" ht="40" customHeight="1">
      <x:c r="B24" s="128" t="s">
        <x:v>82</x:v>
      </x:c>
      <x:c r="C24" s="129"/>
      <x:c r="D24" s="129"/>
      <x:c r="E24" s="150" t="n">
        <x:f>SUM(E18:E23)</x:f>
        <x:v>13200</x:v>
      </x:c>
      <x:c r="F24" s="150" t="n">
        <x:f>SUM(F18:F23)</x:f>
        <x:v>24120</x:v>
      </x:c>
      <x:c r="G24" s="150" t="n">
        <x:f>SUM(G18:G23)</x:f>
        <x:v>45846</x:v>
      </x:c>
      <x:c r="H24" s="150" t="n">
        <x:f>SUM(H18:H23)</x:f>
        <x:v>78378.29999999999</x:v>
      </x:c>
      <x:c r="I24" s="150" t="n">
        <x:f>SUM(I18:I23)</x:f>
        <x:v>110917.21500000001</x:v>
      </x:c>
      <x:c r="J24" s="150" t="n">
        <x:f>SUM(J18:J23)</x:f>
        <x:v>272461.51499999996</x:v>
      </x:c>
      <x:c r="K24" s="131" t="n">
        <x:f>IFERROR(J24/$J$51,0)</x:f>
        <x:v>0.006852213871179682</x:v>
      </x:c>
      <x:c r="L24" s="129"/>
    </x:row>
    <x:row r="25" ht="40" customHeight="1">
      <x:c r="B25" s="120"/>
      <x:c r="C25" s="132"/>
      <x:c r="D25" s="120"/>
      <x:c r="E25" s="151"/>
      <x:c r="F25" s="151"/>
      <x:c r="G25" s="151"/>
      <x:c r="H25" s="151"/>
      <x:c r="I25" s="151"/>
      <x:c r="J25" s="151"/>
      <x:c r="K25" s="159"/>
      <x:c r="L25" s="120"/>
    </x:row>
    <x:row r="26" ht="40" customHeight="1">
      <x:c r="B26" s="122" t="s">
        <x:v>91</x:v>
      </x:c>
      <x:c r="C26" s="123"/>
      <x:c r="D26" s="123"/>
      <x:c r="E26" s="152"/>
      <x:c r="F26" s="152"/>
      <x:c r="G26" s="152"/>
      <x:c r="H26" s="152"/>
      <x:c r="I26" s="152"/>
      <x:c r="J26" s="152"/>
      <x:c r="K26" s="160"/>
      <x:c r="L26" s="123"/>
    </x:row>
    <x:row r="27" ht="40" customHeight="1">
      <x:c r="B27" s="124" t="s">
        <x:v>92</x:v>
      </x:c>
      <x:c r="C27" s="125" t="str">
        <x:v>GMV</x:v>
      </x:c>
      <x:c r="D27" s="126" t="n">
        <x:v>440000</x:v>
      </x:c>
      <x:c r="E27" s="149" t="n">
        <x:f>IF($D27="","",$D27*INDEX('Допущения'!$C$25:$G$30,MATCH($C27,'Допущения'!$B$25:$B$30,0),1))</x:f>
        <x:v>440000</x:v>
      </x:c>
      <x:c r="F27" s="149" t="n">
        <x:f>IF($D27="","",$D27*INDEX('Допущения'!$C$25:$G$30,MATCH($C27,'Допущения'!$B$25:$B$30,0),2))</x:f>
        <x:v>1375000</x:v>
      </x:c>
      <x:c r="G27" s="149" t="n">
        <x:f>IF($D27="","",$D27*INDEX('Допущения'!$C$25:$G$30,MATCH($C27,'Допущения'!$B$25:$B$30,0),3))</x:f>
        <x:v>3300000</x:v>
      </x:c>
      <x:c r="H27" s="149" t="n">
        <x:f>IF($D27="","",$D27*INDEX('Допущения'!$C$25:$G$30,MATCH($C27,'Допущения'!$B$25:$B$30,0),4))</x:f>
        <x:v>6600000</x:v>
      </x:c>
      <x:c r="I27" s="149" t="n">
        <x:f>IF($D27="","",$D27*INDEX('Допущения'!$C$25:$G$30,MATCH($C27,'Допущения'!$B$25:$B$30,0),5))</x:f>
        <x:v>11000000</x:v>
      </x:c>
      <x:c r="J27" s="149" t="n">
        <x:f>SUM(E27:I27)</x:f>
        <x:v>22715000</x:v>
      </x:c>
      <x:c r="K27" s="158"/>
      <x:c r="L27" s="107" t="str">
        <x:v>SA-05: 2,2% GMV, сборы/FX/налоги включены по гипотезе договора. 2,5% — потолок A6, не текущая оферта.</x:v>
      </x:c>
    </x:row>
    <x:row r="28" ht="40" customHeight="1">
      <x:c r="B28" s="124" t="s">
        <x:v>93</x:v>
      </x:c>
      <x:c r="C28" s="125" t="str">
        <x:v>заказы</x:v>
      </x:c>
      <x:c r="D28" s="126" t="n">
        <x:v>64000</x:v>
      </x:c>
      <x:c r="E28" s="149" t="n">
        <x:f>IF($D28="","",$D28*INDEX('Допущения'!$C$25:$G$30,MATCH($C28,'Допущения'!$B$25:$B$30,0),1))</x:f>
        <x:v>64000</x:v>
      </x:c>
      <x:c r="F28" s="149" t="n">
        <x:f>IF($D28="","",$D28*INDEX('Допущения'!$C$25:$G$30,MATCH($C28,'Допущения'!$B$25:$B$30,0),2))</x:f>
        <x:v>200000</x:v>
      </x:c>
      <x:c r="G28" s="149" t="n">
        <x:f>IF($D28="","",$D28*INDEX('Допущения'!$C$25:$G$30,MATCH($C28,'Допущения'!$B$25:$B$30,0),3))</x:f>
        <x:v>480000</x:v>
      </x:c>
      <x:c r="H28" s="149" t="n">
        <x:f>IF($D28="","",$D28*INDEX('Допущения'!$C$25:$G$30,MATCH($C28,'Допущения'!$B$25:$B$30,0),4))</x:f>
        <x:v>960000</x:v>
      </x:c>
      <x:c r="I28" s="149" t="n">
        <x:f>IF($D28="","",$D28*INDEX('Допущения'!$C$25:$G$30,MATCH($C28,'Допущения'!$B$25:$B$30,0),5))</x:f>
        <x:v>1600000</x:v>
      </x:c>
      <x:c r="J28" s="149" t="n">
        <x:f>SUM(E28:I28)</x:f>
        <x:v>3304000</x:v>
      </x:c>
      <x:c r="K28" s="158"/>
      <x:c r="L28" s="107" t="str">
        <x:v>SA-06: 2 SMS × $0,04 × заказы.</x:v>
      </x:c>
    </x:row>
    <x:row r="29" ht="40" customHeight="1">
      <x:c r="B29" s="124" t="str">
        <x:v>WhatsApp: сообщения, не диалоги</x:v>
      </x:c>
      <x:c r="C29" s="125" t="str">
        <x:v>заказы</x:v>
      </x:c>
      <x:c r="D29" s="126" t="n">
        <x:v>16000</x:v>
      </x:c>
      <x:c r="E29" s="149" t="n">
        <x:f>IF($D29="","",$D29*INDEX('Допущения'!$C$25:$G$30,MATCH($C29,'Допущения'!$B$25:$B$30,0),1))</x:f>
        <x:v>16000</x:v>
      </x:c>
      <x:c r="F29" s="149" t="n">
        <x:f>IF($D29="","",$D29*INDEX('Допущения'!$C$25:$G$30,MATCH($C29,'Допущения'!$B$25:$B$30,0),2))</x:f>
        <x:v>50000</x:v>
      </x:c>
      <x:c r="G29" s="149" t="n">
        <x:f>IF($D29="","",$D29*INDEX('Допущения'!$C$25:$G$30,MATCH($C29,'Допущения'!$B$25:$B$30,0),3))</x:f>
        <x:v>120000</x:v>
      </x:c>
      <x:c r="H29" s="149" t="n">
        <x:f>IF($D29="","",$D29*INDEX('Допущения'!$C$25:$G$30,MATCH($C29,'Допущения'!$B$25:$B$30,0),4))</x:f>
        <x:v>240000</x:v>
      </x:c>
      <x:c r="I29" s="149" t="n">
        <x:f>IF($D29="","",$D29*INDEX('Допущения'!$C$25:$G$30,MATCH($C29,'Допущения'!$B$25:$B$30,0),5))</x:f>
        <x:v>400000</x:v>
      </x:c>
      <x:c r="J29" s="149" t="n">
        <x:f>SUM(E29:I29)</x:f>
        <x:v>826000</x:v>
      </x:c>
      <x:c r="K29" s="158"/>
      <x:c r="L29" s="107" t="str">
        <x:v>SA-06: 0,5 сообщения × $0,04 × заказы.</x:v>
      </x:c>
    </x:row>
    <x:row r="30" ht="40" customHeight="1">
      <x:c r="B30" s="124" t="str">
        <x:v>Логистический API/support (без доставки)</x:v>
      </x:c>
      <x:c r="C30" s="125" t="str">
        <x:v>заказы</x:v>
      </x:c>
      <x:c r="D30" s="126" t="n">
        <x:v>40000</x:v>
      </x:c>
      <x:c r="E30" s="149" t="n">
        <x:f>IF($D30="","",$D30*INDEX('Допущения'!$C$25:$G$30,MATCH($C30,'Допущения'!$B$25:$B$30,0),1))</x:f>
        <x:v>40000</x:v>
      </x:c>
      <x:c r="F30" s="149" t="n">
        <x:f>IF($D30="","",$D30*INDEX('Допущения'!$C$25:$G$30,MATCH($C30,'Допущения'!$B$25:$B$30,0),2))</x:f>
        <x:v>125000</x:v>
      </x:c>
      <x:c r="G30" s="149" t="n">
        <x:f>IF($D30="","",$D30*INDEX('Допущения'!$C$25:$G$30,MATCH($C30,'Допущения'!$B$25:$B$30,0),3))</x:f>
        <x:v>300000</x:v>
      </x:c>
      <x:c r="H30" s="149" t="n">
        <x:f>IF($D30="","",$D30*INDEX('Допущения'!$C$25:$G$30,MATCH($C30,'Допущения'!$B$25:$B$30,0),4))</x:f>
        <x:v>600000</x:v>
      </x:c>
      <x:c r="I30" s="149" t="n">
        <x:f>IF($D30="","",$D30*INDEX('Допущения'!$C$25:$G$30,MATCH($C30,'Допущения'!$B$25:$B$30,0),5))</x:f>
        <x:v>1000000</x:v>
      </x:c>
      <x:c r="J30" s="149" t="n">
        <x:f>SUM(E30:I30)</x:f>
        <x:v>2065000</x:v>
      </x:c>
      <x:c r="K30" s="158"/>
      <x:c r="L30" s="107" t="str">
        <x:v>SA-07: $0,05/заказ за API/support; доставка вне IT-модели.</x:v>
      </x:c>
    </x:row>
    <x:row r="31" ht="40" customHeight="1">
      <x:c r="B31" s="124" t="str">
        <x:v>USSD: аренда кода и шлюза</x:v>
      </x:c>
      <x:c r="C31" s="125" t="str">
        <x:v>инфляция</x:v>
      </x:c>
      <x:c r="D31" s="126" t="n">
        <x:v>1200</x:v>
      </x:c>
      <x:c r="E31" s="149" t="n">
        <x:f>IF($D31="","",$D31*INDEX('Допущения'!$C$25:$G$30,MATCH($C31,'Допущения'!$B$25:$B$30,0),1))</x:f>
        <x:v>1200</x:v>
      </x:c>
      <x:c r="F31" s="149" t="n">
        <x:f>IF($D31="","",$D31*INDEX('Допущения'!$C$25:$G$30,MATCH($C31,'Допущения'!$B$25:$B$30,0),2))</x:f>
        <x:v>1260</x:v>
      </x:c>
      <x:c r="G31" s="149" t="n">
        <x:f>IF($D31="","",$D31*INDEX('Допущения'!$C$25:$G$30,MATCH($C31,'Допущения'!$B$25:$B$30,0),3))</x:f>
        <x:v>1323</x:v>
      </x:c>
      <x:c r="H31" s="149" t="n">
        <x:f>IF($D31="","",$D31*INDEX('Допущения'!$C$25:$G$30,MATCH($C31,'Допущения'!$B$25:$B$30,0),4))</x:f>
        <x:v>1389.15</x:v>
      </x:c>
      <x:c r="I31" s="149" t="n">
        <x:f>IF($D31="","",$D31*INDEX('Допущения'!$C$25:$G$30,MATCH($C31,'Допущения'!$B$25:$B$30,0),5))</x:f>
        <x:v>1458.6075000000003</x:v>
      </x:c>
      <x:c r="J31" s="149" t="n">
        <x:f>SUM(E31:I31)</x:f>
        <x:v>6630.7575</x:v>
      </x:c>
      <x:c r="K31" s="158"/>
      <x:c r="L31" s="107" t="s">
        <x:v>81</x:v>
      </x:c>
    </x:row>
    <x:row r="32" ht="40" customHeight="1">
      <x:c r="B32" s="128" t="s">
        <x:v>82</x:v>
      </x:c>
      <x:c r="C32" s="129"/>
      <x:c r="D32" s="129"/>
      <x:c r="E32" s="150" t="n">
        <x:f>SUM(E27:E31)</x:f>
        <x:v>561200</x:v>
      </x:c>
      <x:c r="F32" s="150" t="n">
        <x:f>SUM(F27:F31)</x:f>
        <x:v>1751260</x:v>
      </x:c>
      <x:c r="G32" s="150" t="n">
        <x:f>SUM(G27:G31)</x:f>
        <x:v>4201323</x:v>
      </x:c>
      <x:c r="H32" s="150" t="n">
        <x:f>SUM(H27:H31)</x:f>
        <x:v>8401389.15</x:v>
      </x:c>
      <x:c r="I32" s="150" t="n">
        <x:f>SUM(I27:I31)</x:f>
        <x:v>14001458.6075</x:v>
      </x:c>
      <x:c r="J32" s="150" t="n">
        <x:f>SUM(J27:J31)</x:f>
        <x:v>28916630.7575</x:v>
      </x:c>
      <x:c r="K32" s="131" t="n">
        <x:f>IFERROR(J32/$J$51,0)</x:f>
        <x:v>0.7272327557318418</x:v>
      </x:c>
      <x:c r="L32" s="129"/>
    </x:row>
    <x:row r="33" ht="40" customHeight="1">
      <x:c r="B33" s="120"/>
      <x:c r="C33" s="132"/>
      <x:c r="D33" s="120"/>
      <x:c r="E33" s="151"/>
      <x:c r="F33" s="151"/>
      <x:c r="G33" s="151"/>
      <x:c r="H33" s="151"/>
      <x:c r="I33" s="151"/>
      <x:c r="J33" s="151"/>
      <x:c r="K33" s="159"/>
      <x:c r="L33" s="120"/>
    </x:row>
    <x:row r="34" ht="40" customHeight="1">
      <x:c r="B34" s="122" t="s">
        <x:v>94</x:v>
      </x:c>
      <x:c r="C34" s="123"/>
      <x:c r="D34" s="123"/>
      <x:c r="E34" s="152"/>
      <x:c r="F34" s="152"/>
      <x:c r="G34" s="152"/>
      <x:c r="H34" s="152"/>
      <x:c r="I34" s="152"/>
      <x:c r="J34" s="152"/>
      <x:c r="K34" s="160"/>
      <x:c r="L34" s="123"/>
    </x:row>
    <x:row r="35" ht="40" customHeight="1">
      <x:c r="B35" s="124" t="s">
        <x:v>95</x:v>
      </x:c>
      <x:c r="C35" s="125" t="str">
        <x:v>ФОТ</x:v>
      </x:c>
      <x:c r="D35" s="126" t="n">
        <x:v>240000</x:v>
      </x:c>
      <x:c r="E35" s="149" t="n">
        <x:f>IF($D35="","",$D35*INDEX('Допущения'!$C$25:$G$30,MATCH($C35,'Допущения'!$B$25:$B$30,0),1))</x:f>
        <x:v>240000</x:v>
      </x:c>
      <x:c r="F35" s="149" t="n">
        <x:f>IF($D35="","",$D35*INDEX('Допущения'!$C$25:$G$30,MATCH($C35,'Допущения'!$B$25:$B$30,0),2))</x:f>
        <x:v>312000</x:v>
      </x:c>
      <x:c r="G35" s="149" t="n">
        <x:f>IF($D35="","",$D35*INDEX('Допущения'!$C$25:$G$30,MATCH($C35,'Допущения'!$B$25:$B$30,0),3))</x:f>
        <x:v>405600.00000000006</x:v>
      </x:c>
      <x:c r="H35" s="149" t="n">
        <x:f>IF($D35="","",$D35*INDEX('Допущения'!$C$25:$G$30,MATCH($C35,'Допущения'!$B$25:$B$30,0),4))</x:f>
        <x:v>527280.0000000001</x:v>
      </x:c>
      <x:c r="I35" s="149" t="n">
        <x:f>IF($D35="","",$D35*INDEX('Допущения'!$C$25:$G$30,MATCH($C35,'Допущения'!$B$25:$B$30,0),5))</x:f>
        <x:v>685464.0000000002</x:v>
      </x:c>
      <x:c r="J35" s="149" t="n">
        <x:f>SUM(E35:I35)</x:f>
        <x:v>2170344</x:v>
      </x:c>
      <x:c r="K35" s="158"/>
      <x:c r="L35" s="107" t="str">
        <x:v>SA-04: 4 FTE × $5000 × 12; ФОТ +30%/год. Начальная разработка входит в этот ФОТ, второй раз не добавляется.</x:v>
      </x:c>
    </x:row>
    <x:row r="36" ht="40" customHeight="1">
      <x:c r="B36" s="124" t="s">
        <x:v>96</x:v>
      </x:c>
      <x:c r="C36" s="125" t="str">
        <x:v>ФОТ</x:v>
      </x:c>
      <x:c r="D36" s="126" t="n">
        <x:v>120000</x:v>
      </x:c>
      <x:c r="E36" s="149" t="n">
        <x:f>IF($D36="","",$D36*INDEX('Допущения'!$C$25:$G$30,MATCH($C36,'Допущения'!$B$25:$B$30,0),1))</x:f>
        <x:v>120000</x:v>
      </x:c>
      <x:c r="F36" s="149" t="n">
        <x:f>IF($D36="","",$D36*INDEX('Допущения'!$C$25:$G$30,MATCH($C36,'Допущения'!$B$25:$B$30,0),2))</x:f>
        <x:v>156000</x:v>
      </x:c>
      <x:c r="G36" s="149" t="n">
        <x:f>IF($D36="","",$D36*INDEX('Допущения'!$C$25:$G$30,MATCH($C36,'Допущения'!$B$25:$B$30,0),3))</x:f>
        <x:v>202800.00000000003</x:v>
      </x:c>
      <x:c r="H36" s="149" t="n">
        <x:f>IF($D36="","",$D36*INDEX('Допущения'!$C$25:$G$30,MATCH($C36,'Допущения'!$B$25:$B$30,0),4))</x:f>
        <x:v>263640.00000000006</x:v>
      </x:c>
      <x:c r="I36" s="149" t="n">
        <x:f>IF($D36="","",$D36*INDEX('Допущения'!$C$25:$G$30,MATCH($C36,'Допущения'!$B$25:$B$30,0),5))</x:f>
        <x:v>342732.0000000001</x:v>
      </x:c>
      <x:c r="J36" s="149" t="n">
        <x:f>SUM(E36:I36)</x:f>
        <x:v>1085172</x:v>
      </x:c>
      <x:c r="K36" s="158"/>
      <x:c r="L36" s="107" t="str">
        <x:v>SA-04: 2 FTE × $5000 × 12; ФОТ +30%/год. Начальная разработка входит в этот ФОТ, второй раз не добавляется.</x:v>
      </x:c>
    </x:row>
    <x:row r="37" ht="40" customHeight="1">
      <x:c r="B37" s="124" t="s">
        <x:v>97</x:v>
      </x:c>
      <x:c r="C37" s="125" t="str">
        <x:v>ФОТ</x:v>
      </x:c>
      <x:c r="D37" s="126" t="n">
        <x:v>60000</x:v>
      </x:c>
      <x:c r="E37" s="149" t="n">
        <x:f>IF($D37="","",$D37*INDEX('Допущения'!$C$25:$G$30,MATCH($C37,'Допущения'!$B$25:$B$30,0),1))</x:f>
        <x:v>60000</x:v>
      </x:c>
      <x:c r="F37" s="149" t="n">
        <x:f>IF($D37="","",$D37*INDEX('Допущения'!$C$25:$G$30,MATCH($C37,'Допущения'!$B$25:$B$30,0),2))</x:f>
        <x:v>78000</x:v>
      </x:c>
      <x:c r="G37" s="149" t="n">
        <x:f>IF($D37="","",$D37*INDEX('Допущения'!$C$25:$G$30,MATCH($C37,'Допущения'!$B$25:$B$30,0),3))</x:f>
        <x:v>101400.00000000001</x:v>
      </x:c>
      <x:c r="H37" s="149" t="n">
        <x:f>IF($D37="","",$D37*INDEX('Допущения'!$C$25:$G$30,MATCH($C37,'Допущения'!$B$25:$B$30,0),4))</x:f>
        <x:v>131820.00000000003</x:v>
      </x:c>
      <x:c r="I37" s="149" t="n">
        <x:f>IF($D37="","",$D37*INDEX('Допущения'!$C$25:$G$30,MATCH($C37,'Допущения'!$B$25:$B$30,0),5))</x:f>
        <x:v>171366.00000000006</x:v>
      </x:c>
      <x:c r="J37" s="149" t="n">
        <x:f>SUM(E37:I37)</x:f>
        <x:v>542586</x:v>
      </x:c>
      <x:c r="K37" s="158"/>
      <x:c r="L37" s="107" t="str">
        <x:v>SA-04: операторы/поддержка, плановая ротация инженеров по вызову. Не доказывает автономный staffed 24/7 центр или 99,99%.</x:v>
      </x:c>
    </x:row>
    <x:row r="38" ht="40" customHeight="1">
      <x:c r="B38" s="124" t="s">
        <x:v>98</x:v>
      </x:c>
      <x:c r="C38" s="125" t="str">
        <x:v>ФОТ</x:v>
      </x:c>
      <x:c r="D38" s="126" t="n">
        <x:v>60000</x:v>
      </x:c>
      <x:c r="E38" s="149" t="n">
        <x:f>IF($D38="","",$D38*INDEX('Допущения'!$C$25:$G$30,MATCH($C38,'Допущения'!$B$25:$B$30,0),1))</x:f>
        <x:v>60000</x:v>
      </x:c>
      <x:c r="F38" s="149" t="n">
        <x:f>IF($D38="","",$D38*INDEX('Допущения'!$C$25:$G$30,MATCH($C38,'Допущения'!$B$25:$B$30,0),2))</x:f>
        <x:v>78000</x:v>
      </x:c>
      <x:c r="G38" s="149" t="n">
        <x:f>IF($D38="","",$D38*INDEX('Допущения'!$C$25:$G$30,MATCH($C38,'Допущения'!$B$25:$B$30,0),3))</x:f>
        <x:v>101400.00000000001</x:v>
      </x:c>
      <x:c r="H38" s="149" t="n">
        <x:f>IF($D38="","",$D38*INDEX('Допущения'!$C$25:$G$30,MATCH($C38,'Допущения'!$B$25:$B$30,0),4))</x:f>
        <x:v>131820.00000000003</x:v>
      </x:c>
      <x:c r="I38" s="149" t="n">
        <x:f>IF($D38="","",$D38*INDEX('Допущения'!$C$25:$G$30,MATCH($C38,'Допущения'!$B$25:$B$30,0),5))</x:f>
        <x:v>171366.00000000006</x:v>
      </x:c>
      <x:c r="J38" s="149" t="n">
        <x:f>SUM(E38:I38)</x:f>
        <x:v>542586</x:v>
      </x:c>
      <x:c r="K38" s="158"/>
      <x:c r="L38" s="107" t="str">
        <x:v>SA-04: доля существующих архитектора/CTO; CEO — владелец продукта. Корпоративный ФОТ остальных C-level вне IT-модели.</x:v>
      </x:c>
    </x:row>
    <x:row r="39" ht="40" customHeight="1">
      <x:c r="B39" s="124"/>
      <x:c r="C39" s="125" t="str">
        <x:v>фикс</x:v>
      </x:c>
      <x:c r="D39" s="126" t="n">
        <x:v>0</x:v>
      </x:c>
      <x:c r="E39" s="149" t="str">
        <x:f>IF($D39="","",$D39*INDEX('Допущения'!$C$25:$G$30,MATCH($C39,'Допущения'!$B$25:$B$30,0),1))</x:f>
      </x:c>
      <x:c r="F39" s="149" t="str">
        <x:f>IF($D39="","",$D39*INDEX('Допущения'!$C$25:$G$30,MATCH($C39,'Допущения'!$B$25:$B$30,0),2))</x:f>
      </x:c>
      <x:c r="G39" s="149" t="str">
        <x:f>IF($D39="","",$D39*INDEX('Допущения'!$C$25:$G$30,MATCH($C39,'Допущения'!$B$25:$B$30,0),3))</x:f>
      </x:c>
      <x:c r="H39" s="149" t="str">
        <x:f>IF($D39="","",$D39*INDEX('Допущения'!$C$25:$G$30,MATCH($C39,'Допущения'!$B$25:$B$30,0),4))</x:f>
      </x:c>
      <x:c r="I39" s="149" t="str">
        <x:f>IF($D39="","",$D39*INDEX('Допущения'!$C$25:$G$30,MATCH($C39,'Допущения'!$B$25:$B$30,0),5))</x:f>
      </x:c>
      <x:c r="J39" s="149" t="n">
        <x:f>SUM(E39:I39)</x:f>
        <x:v>0</x:v>
      </x:c>
      <x:c r="K39" s="158"/>
      <x:c r="L39" s="107" t="s">
        <x:v>81</x:v>
      </x:c>
    </x:row>
    <x:row r="40" ht="40" customHeight="1">
      <x:c r="B40" s="128" t="s">
        <x:v>82</x:v>
      </x:c>
      <x:c r="C40" s="129"/>
      <x:c r="D40" s="129"/>
      <x:c r="E40" s="150" t="n">
        <x:f>SUM(E35:E39)</x:f>
        <x:v>480000</x:v>
      </x:c>
      <x:c r="F40" s="150" t="n">
        <x:f>SUM(F35:F39)</x:f>
        <x:v>624000</x:v>
      </x:c>
      <x:c r="G40" s="150" t="n">
        <x:f>SUM(G35:G39)</x:f>
        <x:v>811200.0000000001</x:v>
      </x:c>
      <x:c r="H40" s="150" t="n">
        <x:f>SUM(H35:H39)</x:f>
        <x:v>1054560.0000000002</x:v>
      </x:c>
      <x:c r="I40" s="150" t="n">
        <x:f>SUM(I35:I39)</x:f>
        <x:v>1370928.0000000005</x:v>
      </x:c>
      <x:c r="J40" s="150" t="n">
        <x:f>SUM(J35:J39)</x:f>
        <x:v>4340688</x:v>
      </x:c>
      <x:c r="K40" s="131" t="n">
        <x:f>IFERROR(J40/$J$51,0)</x:f>
        <x:v>0.10916522476234192</x:v>
      </x:c>
      <x:c r="L40" s="129"/>
    </x:row>
    <x:row r="41" ht="40" customHeight="1">
      <x:c r="B41" s="120"/>
      <x:c r="C41" s="132"/>
      <x:c r="D41" s="120"/>
      <x:c r="E41" s="151"/>
      <x:c r="F41" s="151"/>
      <x:c r="G41" s="151"/>
      <x:c r="H41" s="151"/>
      <x:c r="I41" s="151"/>
      <x:c r="J41" s="151"/>
      <x:c r="K41" s="159"/>
      <x:c r="L41" s="120"/>
    </x:row>
    <x:row r="42" ht="40" customHeight="1">
      <x:c r="B42" s="122" t="s">
        <x:v>99</x:v>
      </x:c>
      <x:c r="C42" s="123"/>
      <x:c r="D42" s="123"/>
      <x:c r="E42" s="152"/>
      <x:c r="F42" s="152"/>
      <x:c r="G42" s="152"/>
      <x:c r="H42" s="152"/>
      <x:c r="I42" s="152"/>
      <x:c r="J42" s="152"/>
      <x:c r="K42" s="160"/>
      <x:c r="L42" s="123"/>
    </x:row>
    <x:row r="43" ht="40" customHeight="1">
      <x:c r="B43" s="124" t="s">
        <x:v>100</x:v>
      </x:c>
      <x:c r="C43" s="125" t="str">
        <x:v>фикс</x:v>
      </x:c>
      <x:c r="D43" s="126" t="n">
        <x:v>35000</x:v>
      </x:c>
      <x:c r="E43" s="149" t="n">
        <x:f>IF($D43="","",$D43*INDEX('Допущения'!$C$25:$G$30,MATCH($C43,'Допущения'!$B$25:$B$30,0),1))</x:f>
        <x:v>35000</x:v>
      </x:c>
      <x:c r="F43" s="153" t="n">
        <x:v>30000</x:v>
      </x:c>
      <x:c r="G43" s="153" t="n">
        <x:v>60000</x:v>
      </x:c>
      <x:c r="H43" s="153" t="n">
        <x:v>60000</x:v>
      </x:c>
      <x:c r="I43" s="153" t="n">
        <x:v>60000</x:v>
      </x:c>
      <x:c r="J43" s="149" t="n">
        <x:f>SUM(E43:I43)</x:f>
        <x:v>245000</x:v>
      </x:c>
      <x:c r="K43" s="158"/>
      <x:c r="L43" s="107" t="str">
        <x:v>SA-10: первичный аудит + новые страны/ежегодные проверки. Плановые повторные суммы явно заданы, не автоматическое повторение разовой статьи.</x:v>
      </x:c>
    </x:row>
    <x:row r="44" ht="40" customHeight="1">
      <x:c r="B44" s="124" t="s">
        <x:v>101</x:v>
      </x:c>
      <x:c r="C44" s="125" t="str">
        <x:v>инфляция</x:v>
      </x:c>
      <x:c r="D44" s="126" t="n">
        <x:v>16000</x:v>
      </x:c>
      <x:c r="E44" s="149" t="n">
        <x:f>IF($D44="","",$D44*INDEX('Допущения'!$C$25:$G$30,MATCH($C44,'Допущения'!$B$25:$B$30,0),1))</x:f>
        <x:v>16000</x:v>
      </x:c>
      <x:c r="F44" s="149" t="n">
        <x:f>IF($D44="","",$D44*INDEX('Допущения'!$C$25:$G$30,MATCH($C44,'Допущения'!$B$25:$B$30,0),2))</x:f>
        <x:v>16800</x:v>
      </x:c>
      <x:c r="G44" s="149" t="n">
        <x:f>IF($D44="","",$D44*INDEX('Допущения'!$C$25:$G$30,MATCH($C44,'Допущения'!$B$25:$B$30,0),3))</x:f>
        <x:v>17640</x:v>
      </x:c>
      <x:c r="H44" s="149" t="n">
        <x:f>IF($D44="","",$D44*INDEX('Допущения'!$C$25:$G$30,MATCH($C44,'Допущения'!$B$25:$B$30,0),4))</x:f>
        <x:v>18522.000000000004</x:v>
      </x:c>
      <x:c r="I44" s="149" t="n">
        <x:f>IF($D44="","",$D44*INDEX('Допущения'!$C$25:$G$30,MATCH($C44,'Допущения'!$B$25:$B$30,0),5))</x:f>
        <x:v>19448.100000000002</x:v>
      </x:c>
      <x:c r="J44" s="149" t="n">
        <x:f>SUM(E44:I44)</x:f>
        <x:v>88410.1</x:v>
      </x:c>
      <x:c r="K44" s="158"/>
      <x:c r="L44" s="107" t="s">
        <x:v>102</x:v>
      </x:c>
    </x:row>
    <x:row r="45" ht="40" customHeight="1">
      <x:c r="B45" s="124" t="str">
        <x:v>Начальная интеграция / выделение сервисов</x:v>
      </x:c>
      <x:c r="C45" s="125" t="str">
        <x:v>фикс</x:v>
      </x:c>
      <x:c r="D45" s="126" t="n">
        <x:v>15000</x:v>
      </x:c>
      <x:c r="E45" s="149" t="n">
        <x:f>IF($D45="","",$D45*INDEX('Допущения'!$C$25:$G$30,MATCH($C45,'Допущения'!$B$25:$B$30,0),1))</x:f>
        <x:v>15000</x:v>
      </x:c>
      <x:c r="F45" s="153" t="n">
        <x:v>0</x:v>
      </x:c>
      <x:c r="G45" s="153" t="n">
        <x:v>40000</x:v>
      </x:c>
      <x:c r="H45" s="153" t="n">
        <x:v>0</x:v>
      </x:c>
      <x:c r="I45" s="153" t="n">
        <x:v>0</x:v>
      </x:c>
      <x:c r="J45" s="149" t="n">
        <x:f>SUM(E45:I45)</x:f>
        <x:v>55000</x:v>
      </x:c>
      <x:c r="K45" s="158"/>
      <x:c r="L45" s="107" t="str">
        <x:v>SA-11: разовый запуск 15000; Год 3 миграция 40000; включает дополнительный подряд, тесты и параллельную среду сверх обычного ФОТ.</x:v>
      </x:c>
    </x:row>
    <x:row r="46" ht="40" customHeight="1">
      <x:c r="B46" s="124" t="s">
        <x:v>103</x:v>
      </x:c>
      <x:c r="C46" s="125" t="str">
        <x:v>ФОТ</x:v>
      </x:c>
      <x:c r="D46" s="126" t="n">
        <x:v>10000</x:v>
      </x:c>
      <x:c r="E46" s="149" t="n">
        <x:f>IF($D46="","",$D46*INDEX('Допущения'!$C$25:$G$30,MATCH($C46,'Допущения'!$B$25:$B$30,0),1))</x:f>
        <x:v>10000</x:v>
      </x:c>
      <x:c r="F46" s="149" t="n">
        <x:f>IF($D46="","",$D46*INDEX('Допущения'!$C$25:$G$30,MATCH($C46,'Допущения'!$B$25:$B$30,0),2))</x:f>
        <x:v>13000</x:v>
      </x:c>
      <x:c r="G46" s="149" t="n">
        <x:f>IF($D46="","",$D46*INDEX('Допущения'!$C$25:$G$30,MATCH($C46,'Допущения'!$B$25:$B$30,0),3))</x:f>
        <x:v>16900</x:v>
      </x:c>
      <x:c r="H46" s="149" t="n">
        <x:f>IF($D46="","",$D46*INDEX('Допущения'!$C$25:$G$30,MATCH($C46,'Допущения'!$B$25:$B$30,0),4))</x:f>
        <x:v>21970.000000000004</x:v>
      </x:c>
      <x:c r="I46" s="149" t="n">
        <x:f>IF($D46="","",$D46*INDEX('Допущения'!$C$25:$G$30,MATCH($C46,'Допущения'!$B$25:$B$30,0),5))</x:f>
        <x:v>28561.00000000001</x:v>
      </x:c>
      <x:c r="J46" s="149" t="n">
        <x:f>SUM(E46:I46)</x:f>
        <x:v>90431.00000000001</x:v>
      </x:c>
      <x:c r="K46" s="158"/>
      <x:c r="L46" s="107" t="s">
        <x:v>104</x:v>
      </x:c>
    </x:row>
    <x:row r="47" ht="40" customHeight="1">
      <x:c r="B47" s="124" t="str">
        <x:v>Oracle EE: разовые лицензии</x:v>
      </x:c>
      <x:c r="C47" s="125" t="str">
        <x:v>фикс</x:v>
      </x:c>
      <x:c r="D47" s="126" t="n">
        <x:v>0</x:v>
      </x:c>
      <x:c r="E47" s="149" t="str">
        <x:f>IF($D47="","",$D47*INDEX('Допущения'!$C$25:$G$30,MATCH($C47,'Допущения'!$B$25:$B$30,0),1))</x:f>
      </x:c>
      <x:c r="F47" s="153" t="n">
        <x:v>0</x:v>
      </x:c>
      <x:c r="G47" s="153" t="n">
        <x:v>0</x:v>
      </x:c>
      <x:c r="H47" s="153" t="n">
        <x:v>0</x:v>
      </x:c>
      <x:c r="I47" s="153" t="n">
        <x:v>0</x:v>
      </x:c>
      <x:c r="J47" s="149" t="n">
        <x:f>SUM(E47:I47)</x:f>
        <x:v>0</x:v>
      </x:c>
      <x:c r="K47" s="158"/>
      <x:c r="L47" s="107" t="str">
        <x:v>Oracle 0 × $47500 = 0. Только Год 1; без RAC/ADG, налогов закупки и скидок. CFO-исключение необходимо для C.</x:v>
      </x:c>
    </x:row>
    <x:row r="48" ht="40" customHeight="1">
      <x:c r="B48" s="128" t="s">
        <x:v>82</x:v>
      </x:c>
      <x:c r="C48" s="129"/>
      <x:c r="D48" s="129"/>
      <x:c r="E48" s="150" t="n">
        <x:f>SUM(E43:E47)</x:f>
        <x:v>76000</x:v>
      </x:c>
      <x:c r="F48" s="150" t="n">
        <x:f>SUM(F43:F47)</x:f>
        <x:v>59800</x:v>
      </x:c>
      <x:c r="G48" s="150" t="n">
        <x:f>SUM(G43:G47)</x:f>
        <x:v>134540</x:v>
      </x:c>
      <x:c r="H48" s="150" t="n">
        <x:f>SUM(H43:H47)</x:f>
        <x:v>100492</x:v>
      </x:c>
      <x:c r="I48" s="150" t="n">
        <x:f>SUM(I43:I47)</x:f>
        <x:v>108009.10000000002</x:v>
      </x:c>
      <x:c r="J48" s="150" t="n">
        <x:f>SUM(J43:J47)</x:f>
        <x:v>478841.1</x:v>
      </x:c>
      <x:c r="K48" s="131" t="n">
        <x:f>IFERROR(J48/$J$51,0)</x:f>
        <x:v>0.012042514068494912</x:v>
      </x:c>
      <x:c r="L48" s="129"/>
    </x:row>
    <x:row r="49" ht="40" customHeight="1">
      <x:c r="B49" s="120"/>
      <x:c r="C49" s="132"/>
      <x:c r="D49" s="120"/>
      <x:c r="E49" s="151"/>
      <x:c r="F49" s="151"/>
      <x:c r="G49" s="151"/>
      <x:c r="H49" s="151"/>
      <x:c r="I49" s="151"/>
      <x:c r="J49" s="151"/>
      <x:c r="K49" s="159"/>
      <x:c r="L49" s="120"/>
    </x:row>
    <x:row r="50" ht="40" customHeight="1">
      <x:c r="B50" s="133" t="s">
        <x:v>105</x:v>
      </x:c>
      <x:c r="C50" s="132"/>
      <x:c r="D50" s="120"/>
      <x:c r="E50" s="154" t="n">
        <x:f>(E15+E24+E32+E40+E48)*'Допущения'!$C$17</x:f>
        <x:v>122415</x:v>
      </x:c>
      <x:c r="F50" s="154" t="n">
        <x:f>(F15+F24+F32+F40+F48)*'Допущения'!$C$17</x:f>
        <x:v>264098</x:v>
      </x:c>
      <x:c r="G50" s="154" t="n">
        <x:f>(G15+G24+G32+G40+G48)*'Допущения'!$C$17</x:f>
        <x:v>555052.4</x:v>
      </x:c>
      <x:c r="H50" s="154" t="n">
        <x:f>(H15+H24+H32+H40+H48)*'Допущения'!$C$17</x:f>
        <x:v>1025601.5200000001</x:v>
      </x:c>
      <x:c r="I50" s="154" t="n">
        <x:f>(I15+I24+I32+I40+I48)*'Допущения'!$C$17</x:f>
        <x:v>1647610.596</x:v>
      </x:c>
      <x:c r="J50" s="149" t="n">
        <x:f>SUM(E50:I50)</x:f>
        <x:v>3614777.516</x:v>
      </x:c>
      <x:c r="K50" s="159"/>
      <x:c r="L50" s="121" t="s">
        <x:v>106</x:v>
      </x:c>
    </x:row>
    <x:row r="51" ht="40" customHeight="1">
      <x:c r="B51" s="128" t="s">
        <x:v>107</x:v>
      </x:c>
      <x:c r="C51" s="132"/>
      <x:c r="D51" s="120"/>
      <x:c r="E51" s="150" t="n">
        <x:f>E15+E24+E32+E40+E48+E50</x:f>
        <x:v>1346565</x:v>
      </x:c>
      <x:c r="F51" s="150" t="n">
        <x:f>F15+F24+F32+F40+F48+F50</x:f>
        <x:v>2905078</x:v>
      </x:c>
      <x:c r="G51" s="150" t="n">
        <x:f>G15+G24+G32+G40+G48+G50</x:f>
        <x:v>6105576.4</x:v>
      </x:c>
      <x:c r="H51" s="150" t="n">
        <x:f>H15+H24+H32+H40+H48+H50</x:f>
        <x:v>11281616.72</x:v>
      </x:c>
      <x:c r="I51" s="150" t="n">
        <x:f>I15+I24+I32+I40+I48+I50</x:f>
        <x:v>18123716.555999998</x:v>
      </x:c>
      <x:c r="J51" s="150" t="n">
        <x:f>SUM(E51:I51)</x:f>
        <x:v>39762552.676</x:v>
      </x:c>
      <x:c r="K51" s="159"/>
      <x:c r="L51" s="120"/>
    </x:row>
    <x:row r="52" ht="40" customHeight="1">
      <x:c r="B52" s="122" t="s">
        <x:v>108</x:v>
      </x:c>
      <x:c r="C52" s="123"/>
      <x:c r="D52" s="123"/>
      <x:c r="E52" s="152"/>
      <x:c r="F52" s="152"/>
      <x:c r="G52" s="152"/>
      <x:c r="H52" s="152"/>
      <x:c r="I52" s="152"/>
      <x:c r="J52" s="152"/>
      <x:c r="K52" s="160"/>
      <x:c r="L52" s="123"/>
    </x:row>
    <x:row r="53" ht="40" customHeight="1">
      <x:c r="B53" s="124" t="str">
        <x:v>Условная экспозиция простоя (не ожидаемый ущерб)</x:v>
      </x:c>
      <x:c r="C53" s="120"/>
      <x:c r="D53" s="120"/>
      <x:c r="E53" s="154" t="n">
        <x:f>(1-'Допущения'!$C$20)*525600*'Допущения'!$C$19*'Допущения'!$C$21</x:f>
        <x:v>0</x:v>
      </x:c>
      <x:c r="F53" s="154" t="n">
        <x:f>(1-'Допущения'!$C$20)*525600*'Допущения'!$C$19*'Допущения'!$C$21</x:f>
        <x:v>0</x:v>
      </x:c>
      <x:c r="G53" s="154" t="n">
        <x:f>(1-'Допущения'!$C$20)*525600*'Допущения'!$C$19*'Допущения'!$C$21</x:f>
        <x:v>0</x:v>
      </x:c>
      <x:c r="H53" s="154" t="n">
        <x:f>(1-'Допущения'!$C$20)*525600*'Допущения'!$C$19*'Допущения'!$C$21</x:f>
        <x:v>0</x:v>
      </x:c>
      <x:c r="I53" s="154" t="n">
        <x:f>(1-'Допущения'!$C$20)*525600*'Допущения'!$C$19*'Допущения'!$C$21</x:f>
        <x:v>0</x:v>
      </x:c>
      <x:c r="J53" s="149" t="n">
        <x:f>SUM(E53:I53)</x:f>
        <x:v>0</x:v>
      </x:c>
      <x:c r="K53" s="159"/>
      <x:c r="L53" s="110" t="str">
        <x:v>При переключателе 1: (1−SLO) × 525600 × $12000, без вероятности. В базе 0; не сертификат надёжности.</x:v>
      </x:c>
    </x:row>
    <x:row r="54" ht="40" customHeight="1">
      <x:c r="B54" s="128" t="s">
        <x:v>109</x:v>
      </x:c>
      <x:c r="C54" s="120"/>
      <x:c r="D54" s="120"/>
      <x:c r="E54" s="150" t="n">
        <x:f>E51+E53</x:f>
        <x:v>1346565</x:v>
      </x:c>
      <x:c r="F54" s="150" t="n">
        <x:f>F51+F53</x:f>
        <x:v>2905078</x:v>
      </x:c>
      <x:c r="G54" s="150" t="n">
        <x:f>G51+G53</x:f>
        <x:v>6105576.4</x:v>
      </x:c>
      <x:c r="H54" s="150" t="n">
        <x:f>H51+H53</x:f>
        <x:v>11281616.72</x:v>
      </x:c>
      <x:c r="I54" s="150" t="n">
        <x:f>I51+I53</x:f>
        <x:v>18123716.555999998</x:v>
      </x:c>
      <x:c r="J54" s="150" t="n">
        <x:f>SUM(E54:I54)</x:f>
        <x:v>39762552.676</x:v>
      </x:c>
      <x:c r="K54" s="159"/>
      <x:c r="L54" s="120"/>
    </x:row>
    <x:row r="55" ht="40" customHeight="1">
      <x:c r="B55" s="124" t="s">
        <x:v>110</x:v>
      </x:c>
      <x:c r="C55" s="120"/>
      <x:c r="D55" s="120"/>
      <x:c r="E55" s="135" t="n">
        <x:f>1/(1+'Допущения'!$C$16)^0</x:f>
        <x:v>1</x:v>
      </x:c>
      <x:c r="F55" s="135" t="n">
        <x:f>1/(1+'Допущения'!$C$16)^1</x:f>
        <x:v>0.8333333333333334</x:v>
      </x:c>
      <x:c r="G55" s="135" t="n">
        <x:f>1/(1+'Допущения'!$C$16)^2</x:f>
        <x:v>0.6944444444444444</x:v>
      </x:c>
      <x:c r="H55" s="135" t="n">
        <x:f>1/(1+'Допущения'!$C$16)^3</x:f>
        <x:v>0.5787037037037038</x:v>
      </x:c>
      <x:c r="I55" s="135" t="n">
        <x:f>1/(1+'Допущения'!$C$16)^4</x:f>
        <x:v>0.4822530864197531</x:v>
      </x:c>
      <x:c r="J55" s="151"/>
      <x:c r="K55" s="159"/>
      <x:c r="L55" s="120"/>
    </x:row>
    <x:row r="56" ht="40" customHeight="1">
      <x:c r="B56" s="128" t="s">
        <x:v>111</x:v>
      </x:c>
      <x:c r="C56" s="120"/>
      <x:c r="D56" s="120"/>
      <x:c r="E56" s="150" t="n">
        <x:f>E54*E55</x:f>
        <x:v>1346565</x:v>
      </x:c>
      <x:c r="F56" s="150" t="n">
        <x:f>F54*F55</x:f>
        <x:v>2420898.3333333335</x:v>
      </x:c>
      <x:c r="G56" s="150" t="n">
        <x:f>G54*G55</x:f>
        <x:v>4239983.611111111</x:v>
      </x:c>
      <x:c r="H56" s="150" t="n">
        <x:f>H54*H55</x:f>
        <x:v>6528713.3796296315</x:v>
      </x:c>
      <x:c r="I56" s="150" t="n">
        <x:f>I54*I55</x:f>
        <x:v>8740218.246527778</x:v>
      </x:c>
      <x:c r="J56" s="150" t="n">
        <x:f>SUM(E56:I56)</x:f>
        <x:v>23276378.57060185</x:v>
      </x:c>
      <x:c r="K56" s="159"/>
      <x:c r="L56" s="120"/>
    </x:row>
    <x:row r="57" ht="40" customHeight="1">
      <x:c r="B57" s="120"/>
      <x:c r="C57" s="120"/>
      <x:c r="D57" s="120"/>
      <x:c r="E57" s="151"/>
      <x:c r="F57" s="151"/>
      <x:c r="G57" s="151"/>
      <x:c r="H57" s="151"/>
      <x:c r="I57" s="151"/>
      <x:c r="J57" s="151"/>
      <x:c r="K57" s="159"/>
      <x:c r="L57" s="120"/>
    </x:row>
    <x:row r="58" ht="40" customHeight="1">
      <x:c r="B58" s="122" t="s">
        <x:v>112</x:v>
      </x:c>
      <x:c r="C58" s="123"/>
      <x:c r="D58" s="123"/>
      <x:c r="E58" s="152"/>
      <x:c r="F58" s="152"/>
      <x:c r="G58" s="152"/>
      <x:c r="H58" s="152"/>
      <x:c r="I58" s="152"/>
      <x:c r="J58" s="152"/>
      <x:c r="K58" s="160"/>
      <x:c r="L58" s="123"/>
    </x:row>
    <x:row r="59" ht="40" customHeight="1">
      <x:c r="B59" s="133" t="s">
        <x:v>113</x:v>
      </x:c>
      <x:c r="C59" s="120"/>
      <x:c r="D59" s="120"/>
      <x:c r="E59" s="155" t="n">
        <x:f>J51</x:f>
        <x:v>39762552.676</x:v>
      </x:c>
      <x:c r="F59" s="156"/>
      <x:c r="G59" s="151"/>
      <x:c r="H59" s="151"/>
      <x:c r="I59" s="151"/>
      <x:c r="J59" s="151"/>
      <x:c r="K59" s="159"/>
      <x:c r="L59" s="110" t="s">
        <x:v>114</x:v>
      </x:c>
    </x:row>
    <x:row r="60" ht="40" customHeight="1">
      <x:c r="B60" s="133" t="s">
        <x:v>115</x:v>
      </x:c>
      <x:c r="C60" s="120"/>
      <x:c r="D60" s="120"/>
      <x:c r="E60" s="155" t="n">
        <x:f>J54</x:f>
        <x:v>39762552.676</x:v>
      </x:c>
      <x:c r="F60" s="156"/>
      <x:c r="G60" s="151"/>
      <x:c r="H60" s="151"/>
      <x:c r="I60" s="151"/>
      <x:c r="J60" s="151"/>
      <x:c r="K60" s="159"/>
      <x:c r="L60" s="110" t="s">
        <x:v>116</x:v>
      </x:c>
    </x:row>
    <x:row r="61" ht="40" customHeight="1">
      <x:c r="B61" s="133" t="s">
        <x:v>117</x:v>
      </x:c>
      <x:c r="C61" s="120"/>
      <x:c r="D61" s="120"/>
      <x:c r="E61" s="155" t="n">
        <x:f>J56</x:f>
        <x:v>23276378.57060185</x:v>
      </x:c>
      <x:c r="F61" s="156"/>
      <x:c r="G61" s="151"/>
      <x:c r="H61" s="151"/>
      <x:c r="I61" s="151"/>
      <x:c r="J61" s="151"/>
      <x:c r="K61" s="159"/>
      <x:c r="L61" s="110" t="str">
        <x:v>Шаблон: расходы в НАЧАЛЕ года. Корректный NPV при оплате в конце года — на «Контроль», строка 9.</x:v>
      </x:c>
    </x:row>
    <x:row r="62" ht="40" customHeight="1">
      <x:c r="B62" s="133" t="s">
        <x:v>118</x:v>
      </x:c>
      <x:c r="C62" s="120"/>
      <x:c r="D62" s="120"/>
      <x:c r="E62" s="155" t="n">
        <x:f>J51/5</x:f>
        <x:v>7952510.5352</x:v>
      </x:c>
      <x:c r="F62" s="156"/>
      <x:c r="G62" s="151"/>
      <x:c r="H62" s="151"/>
      <x:c r="I62" s="151"/>
      <x:c r="J62" s="151"/>
      <x:c r="K62" s="159"/>
      <x:c r="L62" s="110" t="s">
        <x:v>119</x:v>
      </x:c>
    </x:row>
    <x:row r="63" ht="40" customHeight="1">
      <x:c r="B63" s="133" t="s">
        <x:v>120</x:v>
      </x:c>
      <x:c r="C63" s="120"/>
      <x:c r="D63" s="120"/>
      <x:c r="E63" s="155" t="n">
        <x:f>E15/12</x:f>
        <x:v>7812.5</x:v>
      </x:c>
      <x:c r="F63" s="156"/>
      <x:c r="G63" s="151"/>
      <x:c r="H63" s="151"/>
      <x:c r="I63" s="151"/>
      <x:c r="J63" s="151"/>
      <x:c r="K63" s="159"/>
      <x:c r="L63" s="110" t="str">
        <x:v>Годовое среднее только инфраструктуры; НЕ месячный лимит первых 6 мес и НЕ все SaaS/SMS. См. «Контроль» строки 13–15.</x:v>
      </x:c>
    </x:row>
    <x:row r="64" ht="40" customHeight="1">
      <x:c r="B64" s="133" t="s">
        <x:v>121</x:v>
      </x:c>
      <x:c r="C64" s="120"/>
      <x:c r="D64" s="120"/>
      <x:c r="E64" s="155" t="str">
        <x:f>IF(E15/12&lt;='Допущения'!$C$18,"В бюджете CFO","ПРЕВЫШЕНИЕ бюджета")</x:f>
        <x:v>ПРЕВЫШЕНИЕ бюджета</x:v>
      </x:c>
      <x:c r="F64" s="156"/>
      <x:c r="G64" s="151"/>
      <x:c r="H64" s="151"/>
      <x:c r="I64" s="151"/>
      <x:c r="J64" s="151"/>
      <x:c r="K64" s="159"/>
      <x:c r="L64" s="110" t="str">
        <x:v>Унаследованная проверка среднего облака; решение CFO принимается по «Контроль», строки 13–15.</x:v>
      </x:c>
    </x:row>
    <x:row r="65" ht="40" customHeight="1">
      <x:c r="B65" s="133" t="s">
        <x:v>122</x:v>
      </x:c>
      <x:c r="C65" s="120"/>
      <x:c r="D65" s="120"/>
      <x:c r="E65" s="157" t="n">
        <x:f>IFERROR(J51/SUM('Допущения'!$C$8:$G$8),0)</x:f>
        <x:v>0.9627736725423729</x:v>
      </x:c>
      <x:c r="F65" s="156"/>
      <x:c r="G65" s="151"/>
      <x:c r="H65" s="151"/>
      <x:c r="I65" s="151"/>
      <x:c r="J65" s="151"/>
      <x:c r="K65" s="159"/>
      <x:c r="L65" s="110" t="str">
        <x:v>С резервом и PSP; все заказы 41,3М, тот же 5-летний период. См. месяц запуска/12 в «Контроль».</x:v>
      </x:c>
    </x:row>
    <x:row r="66" ht="40" customHeight="1">
      <x:c r="B66" s="133" t="s">
        <x:v>123</x:v>
      </x:c>
      <x:c r="C66" s="120"/>
      <x:c r="D66" s="120"/>
      <x:c r="E66" s="157" t="n">
        <x:f>IFERROR(I51/'Допущения'!$G$7,0)</x:f>
        <x:v>1.8123716555999998</x:v>
      </x:c>
      <x:c r="F66" s="156"/>
      <x:c r="G66" s="151"/>
      <x:c r="H66" s="151"/>
      <x:c r="I66" s="151"/>
      <x:c r="J66" s="151"/>
      <x:c r="K66" s="159"/>
      <x:c r="L66" s="110" t="s">
        <x:v>124</x:v>
      </x:c>
    </x:row>
    <x:row r="67" ht="40" customHeight="1">
      <x:c r="B67" s="133" t="s">
        <x:v>125</x:v>
      </x:c>
      <x:c r="C67" s="120"/>
      <x:c r="D67" s="120"/>
      <x:c r="E67" s="141" t="n">
        <x:f>IFERROR(J51/SUM('Допущения'!$C$10:$G$10),0)</x:f>
        <x:v>0.03851094690169492</x:v>
      </x:c>
      <x:c r="F67" s="156"/>
      <x:c r="G67" s="151"/>
      <x:c r="H67" s="151"/>
      <x:c r="I67" s="151"/>
      <x:c r="J67" s="151"/>
      <x:c r="K67" s="159"/>
      <x:c r="L67" s="110" t="s">
        <x:v>126</x:v>
      </x:c>
    </x:row>
    <x:row r="68" ht="40" customHeight="1">
      <x:c r="B68" s="133" t="s">
        <x:v>127</x:v>
      </x:c>
      <x:c r="C68" s="120"/>
      <x:c r="D68" s="120"/>
      <x:c r="E68" s="141" t="n">
        <x:f>IFERROR(J15/J51,0)</x:f>
        <x:v>0.0537982006570508</x:v>
      </x:c>
      <x:c r="F68" s="156"/>
      <x:c r="G68" s="151"/>
      <x:c r="H68" s="151"/>
      <x:c r="I68" s="151"/>
      <x:c r="J68" s="151"/>
      <x:c r="K68" s="159"/>
      <x:c r="L68" s="110" t="s">
        <x:v>128</x:v>
      </x:c>
    </x:row>
    <x:row r="69" ht="40" customHeight="1">
      <x:c r="B69" s="133" t="s">
        <x:v>129</x:v>
      </x:c>
      <x:c r="C69" s="120"/>
      <x:c r="D69" s="120"/>
      <x:c r="E69" s="141" t="n">
        <x:f>IFERROR(J32/J51,0)</x:f>
        <x:v>0.7272327557318418</x:v>
      </x:c>
      <x:c r="F69" s="156"/>
      <x:c r="G69" s="151"/>
      <x:c r="H69" s="151"/>
      <x:c r="I69" s="151"/>
      <x:c r="J69" s="151"/>
      <x:c r="K69" s="159"/>
      <x:c r="L69" s="110" t="s">
        <x:v>130</x:v>
      </x:c>
    </x:row>
    <x:row r="70" ht="40" customHeight="1">
      <x:c r="B70" s="133" t="s">
        <x:v>131</x:v>
      </x:c>
      <x:c r="C70" s="120"/>
      <x:c r="D70" s="120"/>
      <x:c r="E70" s="141" t="n">
        <x:f>IFERROR(J40/J51,0)</x:f>
        <x:v>0.10916522476234192</x:v>
      </x:c>
      <x:c r="F70" s="156"/>
      <x:c r="G70" s="151"/>
      <x:c r="H70" s="151"/>
      <x:c r="I70" s="151"/>
      <x:c r="J70" s="151"/>
      <x:c r="K70" s="159"/>
      <x:c r="L70" s="110" t="s">
        <x:v>132</x:v>
      </x:c>
    </x:row>
    <x:row r="71" ht="40" customHeight="1">
      <x:c r="B71" s="120"/>
      <x:c r="C71" s="120"/>
      <x:c r="D71" s="120"/>
      <x:c r="E71" s="120"/>
      <x:c r="F71" s="120"/>
      <x:c r="G71" s="120"/>
      <x:c r="H71" s="120"/>
      <x:c r="I71" s="120"/>
      <x:c r="J71" s="120"/>
      <x:c r="K71" s="120"/>
      <x:c r="L71" s="120"/>
    </x:row>
    <x:row r="72" ht="40" customHeight="1">
      <x:c r="B72" s="119" t="s">
        <x:v>133</x:v>
      </x:c>
      <x:c r="C72" s="120"/>
      <x:c r="D72" s="120"/>
      <x:c r="E72" s="120"/>
      <x:c r="F72" s="120"/>
      <x:c r="G72" s="120"/>
      <x:c r="H72" s="120"/>
      <x:c r="I72" s="120"/>
      <x:c r="J72" s="120"/>
      <x:c r="K72" s="120"/>
      <x:c r="L72" s="120"/>
    </x:row>
    <x:row r="73" ht="40" customHeight="1">
      <x:c r="B73" s="93" t="str">
        <x:v>B: независимое масштабирование платежей/каталога; дороже и требует 7 контракторов, превышая заморозку. Альтернатива после роста.</x:v>
      </x:c>
      <x:c r="C73" s="142"/>
      <x:c r="D73" s="142"/>
      <x:c r="E73" s="142"/>
      <x:c r="F73" s="142"/>
      <x:c r="G73" s="142"/>
      <x:c r="H73" s="142"/>
      <x:c r="I73" s="142"/>
      <x:c r="J73" s="142"/>
      <x:c r="K73" s="142"/>
      <x:c r="L73" s="143"/>
    </x:row>
    <x:row r="74">
      <x:c r="B74" s="120"/>
      <x:c r="C74" s="120"/>
      <x:c r="D74" s="120"/>
      <x:c r="E74" s="120"/>
      <x:c r="F74" s="120"/>
      <x:c r="G74" s="120"/>
      <x:c r="H74" s="120"/>
      <x:c r="I74" s="120"/>
      <x:c r="J74" s="120"/>
      <x:c r="K74" s="120"/>
      <x:c r="L74" s="120"/>
    </x:row>
    <x:row r="75">
      <x:c r="B75" s="120"/>
      <x:c r="C75" s="120"/>
      <x:c r="D75" s="120"/>
      <x:c r="E75" s="120"/>
      <x:c r="F75" s="120"/>
      <x:c r="G75" s="120"/>
      <x:c r="H75" s="120"/>
      <x:c r="I75" s="120"/>
      <x:c r="J75" s="120"/>
      <x:c r="K75" s="120"/>
      <x:c r="L75" s="120"/>
    </x:row>
    <x:row r="76">
      <x:c r="B76" s="120"/>
      <x:c r="C76" s="120"/>
      <x:c r="D76" s="120"/>
      <x:c r="E76" s="120"/>
      <x:c r="F76" s="120"/>
      <x:c r="G76" s="120"/>
      <x:c r="H76" s="120"/>
      <x:c r="I76" s="120"/>
      <x:c r="J76" s="120"/>
      <x:c r="K76" s="120"/>
      <x:c r="L76" s="120"/>
    </x:row>
    <x:row r="77">
      <x:c r="B77" s="120"/>
      <x:c r="C77" s="120"/>
      <x:c r="D77" s="120"/>
      <x:c r="E77" s="120"/>
      <x:c r="F77" s="120"/>
      <x:c r="G77" s="120"/>
      <x:c r="H77" s="120"/>
      <x:c r="I77" s="120"/>
      <x:c r="J77" s="120"/>
      <x:c r="K77" s="120"/>
      <x:c r="L77" s="120"/>
    </x:row>
    <x:row r="78">
      <x:c r="B78" s="120"/>
      <x:c r="C78" s="120"/>
      <x:c r="D78" s="120"/>
      <x:c r="E78" s="120"/>
      <x:c r="F78" s="120"/>
      <x:c r="G78" s="120"/>
      <x:c r="H78" s="120"/>
      <x:c r="I78" s="120"/>
      <x:c r="J78" s="120"/>
      <x:c r="K78" s="120"/>
      <x:c r="L78" s="120"/>
    </x:row>
    <x:row r="79">
      <x:c r="B79" s="120"/>
      <x:c r="C79" s="120"/>
      <x:c r="D79" s="120"/>
      <x:c r="E79" s="120"/>
      <x:c r="F79" s="120"/>
      <x:c r="G79" s="120"/>
      <x:c r="H79" s="120"/>
      <x:c r="I79" s="120"/>
      <x:c r="J79" s="120"/>
      <x:c r="K79" s="120"/>
      <x:c r="L79" s="120"/>
    </x:row>
    <x:row r="80">
      <x:c r="B80" s="120"/>
      <x:c r="C80" s="120"/>
      <x:c r="D80" s="120"/>
      <x:c r="E80" s="120"/>
      <x:c r="F80" s="120"/>
      <x:c r="G80" s="120"/>
      <x:c r="H80" s="120"/>
      <x:c r="I80" s="120"/>
      <x:c r="J80" s="120"/>
      <x:c r="K80" s="120"/>
      <x:c r="L80" s="120"/>
    </x:row>
    <x:row r="81">
      <x:c r="B81" s="120"/>
      <x:c r="C81" s="120"/>
      <x:c r="D81" s="120"/>
      <x:c r="E81" s="120"/>
      <x:c r="F81" s="120"/>
      <x:c r="G81" s="120"/>
      <x:c r="H81" s="120"/>
      <x:c r="I81" s="120"/>
      <x:c r="J81" s="120"/>
      <x:c r="K81" s="120"/>
      <x:c r="L81" s="120"/>
    </x:row>
    <x:row r="82">
      <x:c r="B82" s="120"/>
      <x:c r="C82" s="120"/>
      <x:c r="D82" s="120"/>
      <x:c r="E82" s="120"/>
      <x:c r="F82" s="120"/>
      <x:c r="G82" s="120"/>
      <x:c r="H82" s="120"/>
      <x:c r="I82" s="120"/>
      <x:c r="J82" s="120"/>
      <x:c r="K82" s="120"/>
      <x:c r="L82" s="120"/>
    </x:row>
    <x:row r="83">
      <x:c r="B83" s="120"/>
      <x:c r="C83" s="120"/>
      <x:c r="D83" s="120"/>
      <x:c r="E83" s="120"/>
      <x:c r="F83" s="120"/>
      <x:c r="G83" s="120"/>
      <x:c r="H83" s="120"/>
      <x:c r="I83" s="120"/>
      <x:c r="J83" s="120"/>
      <x:c r="K83" s="120"/>
      <x:c r="L83" s="12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49" hidden="0" customWidth="1"/>
    <x:col min="3" max="3" width="1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0" hidden="0" customWidth="1"/>
    <x:col min="12" max="12" width="66" hidden="0" customWidth="1"/>
  </x:cols>
  <x:sheetData>
    <x:row r="2" ht="36" customHeight="1">
      <x:c r="B2" s="119" t="str">
        <x:v>C. 40 микросервисов CTO — TCO на 5 лет (копия приложенного шаблона)</x:v>
      </x:c>
      <x:c r="C2" s="120"/>
      <x:c r="D2" s="120"/>
      <x:c r="E2" s="120"/>
      <x:c r="F2" s="120"/>
      <x:c r="G2" s="120"/>
      <x:c r="H2" s="120"/>
      <x:c r="I2" s="120"/>
      <x:c r="J2" s="120"/>
      <x:c r="K2" s="120"/>
      <x:c r="L2" s="120"/>
    </x:row>
    <x:row r="3" ht="36" customHeight="1">
      <x:c r="B3" s="121" t="str">
        <x:v>База Года 1 и 6 стандартных драйверов. Разовые исключения Годов 2–5 — жёлтые; прочие годы вычисляет шаблон.</x:v>
      </x:c>
      <x:c r="C3" s="120"/>
      <x:c r="D3" s="120"/>
      <x:c r="E3" s="120"/>
      <x:c r="F3" s="120"/>
      <x:c r="G3" s="120"/>
      <x:c r="H3" s="120"/>
      <x:c r="I3" s="120"/>
      <x:c r="J3" s="120"/>
      <x:c r="K3" s="120"/>
      <x:c r="L3" s="120"/>
    </x:row>
    <x:row r="4">
      <x:c r="B4" s="120"/>
      <x:c r="C4" s="120"/>
      <x:c r="D4" s="120"/>
      <x:c r="E4" s="120"/>
      <x:c r="F4" s="120"/>
      <x:c r="G4" s="120"/>
      <x:c r="H4" s="120"/>
      <x:c r="I4" s="120"/>
      <x:c r="J4" s="120"/>
      <x:c r="K4" s="120"/>
      <x:c r="L4" s="120"/>
    </x:row>
    <x:row r="5" ht="40" customHeight="1">
      <x:c r="B5" s="104" t="s">
        <x:v>70</x:v>
      </x:c>
      <x:c r="C5" s="104" t="s">
        <x:v>71</x:v>
      </x:c>
      <x:c r="D5" s="104" t="s">
        <x:v>72</x:v>
      </x:c>
      <x:c r="E5" s="104" t="s">
        <x:v>29</x:v>
      </x:c>
      <x:c r="F5" s="104" t="s">
        <x:v>30</x:v>
      </x:c>
      <x:c r="G5" s="104" t="s">
        <x:v>31</x:v>
      </x:c>
      <x:c r="H5" s="104" t="s">
        <x:v>32</x:v>
      </x:c>
      <x:c r="I5" s="104" t="s">
        <x:v>33</x:v>
      </x:c>
      <x:c r="J5" s="104" t="s">
        <x:v>73</x:v>
      </x:c>
      <x:c r="K5" s="104" t="s">
        <x:v>74</x:v>
      </x:c>
      <x:c r="L5" s="104" t="s">
        <x:v>34</x:v>
      </x:c>
    </x:row>
    <x:row r="6" ht="40" customHeight="1">
      <x:c r="B6" s="122" t="s">
        <x:v>75</x:v>
      </x:c>
      <x:c r="C6" s="123"/>
      <x:c r="D6" s="123"/>
      <x:c r="E6" s="123"/>
      <x:c r="F6" s="123"/>
      <x:c r="G6" s="123"/>
      <x:c r="H6" s="123"/>
      <x:c r="I6" s="123"/>
      <x:c r="J6" s="123"/>
      <x:c r="K6" s="123"/>
      <x:c r="L6" s="123"/>
    </x:row>
    <x:row r="7" ht="40" customHeight="1">
      <x:c r="B7" s="124" t="s">
        <x:v>76</x:v>
      </x:c>
      <x:c r="C7" s="125" t="str">
        <x:v>инфляция</x:v>
      </x:c>
      <x:c r="D7" s="126" t="n">
        <x:v>72000</x:v>
      </x:c>
      <x:c r="E7" s="149" t="n">
        <x:f>IF($D7="","",$D7*INDEX('Допущения'!$C$25:$G$30,MATCH($C7,'Допущения'!$B$25:$B$30,0),1))</x:f>
        <x:v>72000</x:v>
      </x:c>
      <x:c r="F7" s="149" t="n">
        <x:f>IF($D7="","",$D7*INDEX('Допущения'!$C$25:$G$30,MATCH($C7,'Допущения'!$B$25:$B$30,0),2))</x:f>
        <x:v>75600</x:v>
      </x:c>
      <x:c r="G7" s="149" t="n">
        <x:f>IF($D7="","",$D7*INDEX('Допущения'!$C$25:$G$30,MATCH($C7,'Допущения'!$B$25:$B$30,0),3))</x:f>
        <x:v>79380</x:v>
      </x:c>
      <x:c r="H7" s="149" t="n">
        <x:f>IF($D7="","",$D7*INDEX('Допущения'!$C$25:$G$30,MATCH($C7,'Допущения'!$B$25:$B$30,0),4))</x:f>
        <x:v>83349.00000000001</x:v>
      </x:c>
      <x:c r="I7" s="149" t="n">
        <x:f>IF($D7="","",$D7*INDEX('Допущения'!$C$25:$G$30,MATCH($C7,'Допущения'!$B$25:$B$30,0),5))</x:f>
        <x:v>87516.45000000001</x:v>
      </x:c>
      <x:c r="J7" s="149" t="n">
        <x:f>SUM(E7:I7)</x:f>
        <x:v>397845.45</x:v>
      </x:c>
      <x:c r="K7" s="158"/>
      <x:c r="L7" s="107" t="str">
        <x:v>SA-09: 6000/мес первые 6 мес; база года × 1. Резерв мощности под заявленные 10М; драйвер инфляция. Quote/нагрузочный тест обязательны.</x:v>
      </x:c>
    </x:row>
    <x:row r="8" ht="40" customHeight="1">
      <x:c r="B8" s="124" t="str">
        <x:v>БД: compute/storage (без лицензии Oracle)</x:v>
      </x:c>
      <x:c r="C8" s="125" t="str">
        <x:v>инфляция</x:v>
      </x:c>
      <x:c r="D8" s="126" t="n">
        <x:v>30000</x:v>
      </x:c>
      <x:c r="E8" s="149" t="n">
        <x:f>IF($D8="","",$D8*INDEX('Допущения'!$C$25:$G$30,MATCH($C8,'Допущения'!$B$25:$B$30,0),1))</x:f>
        <x:v>30000</x:v>
      </x:c>
      <x:c r="F8" s="149" t="n">
        <x:f>IF($D8="","",$D8*INDEX('Допущения'!$C$25:$G$30,MATCH($C8,'Допущения'!$B$25:$B$30,0),2))</x:f>
        <x:v>31500</x:v>
      </x:c>
      <x:c r="G8" s="149" t="n">
        <x:f>IF($D8="","",$D8*INDEX('Допущения'!$C$25:$G$30,MATCH($C8,'Допущения'!$B$25:$B$30,0),3))</x:f>
        <x:v>33075</x:v>
      </x:c>
      <x:c r="H8" s="149" t="n">
        <x:f>IF($D8="","",$D8*INDEX('Допущения'!$C$25:$G$30,MATCH($C8,'Допущения'!$B$25:$B$30,0),4))</x:f>
        <x:v>34728.75000000001</x:v>
      </x:c>
      <x:c r="I8" s="149" t="n">
        <x:f>IF($D8="","",$D8*INDEX('Допущения'!$C$25:$G$30,MATCH($C8,'Допущения'!$B$25:$B$30,0),5))</x:f>
        <x:v>36465.18750000001</x:v>
      </x:c>
      <x:c r="J8" s="149" t="n">
        <x:f>SUM(E8:I8)</x:f>
        <x:v>165768.9375</x:v>
      </x:c>
      <x:c r="K8" s="158"/>
      <x:c r="L8" s="107" t="str">
        <x:v>SA-09: 2500/мес первые 6 мес; база года × 1. Резерв мощности под заявленные 10М; драйвер инфляция. Quote/нагрузочный тест обязательны.</x:v>
      </x:c>
    </x:row>
    <x:row r="9" ht="40" customHeight="1">
      <x:c r="B9" s="124" t="s">
        <x:v>77</x:v>
      </x:c>
      <x:c r="C9" s="125" t="str">
        <x:v>инфляция</x:v>
      </x:c>
      <x:c r="D9" s="126" t="n">
        <x:v>3000</x:v>
      </x:c>
      <x:c r="E9" s="149" t="n">
        <x:f>IF($D9="","",$D9*INDEX('Допущения'!$C$25:$G$30,MATCH($C9,'Допущения'!$B$25:$B$30,0),1))</x:f>
        <x:v>3000</x:v>
      </x:c>
      <x:c r="F9" s="149" t="n">
        <x:f>IF($D9="","",$D9*INDEX('Допущения'!$C$25:$G$30,MATCH($C9,'Допущения'!$B$25:$B$30,0),2))</x:f>
        <x:v>3150</x:v>
      </x:c>
      <x:c r="G9" s="149" t="n">
        <x:f>IF($D9="","",$D9*INDEX('Допущения'!$C$25:$G$30,MATCH($C9,'Допущения'!$B$25:$B$30,0),3))</x:f>
        <x:v>3307.5</x:v>
      </x:c>
      <x:c r="H9" s="149" t="n">
        <x:f>IF($D9="","",$D9*INDEX('Допущения'!$C$25:$G$30,MATCH($C9,'Допущения'!$B$25:$B$30,0),4))</x:f>
        <x:v>3472.8750000000005</x:v>
      </x:c>
      <x:c r="I9" s="149" t="n">
        <x:f>IF($D9="","",$D9*INDEX('Допущения'!$C$25:$G$30,MATCH($C9,'Допущения'!$B$25:$B$30,0),5))</x:f>
        <x:v>3646.5187500000006</x:v>
      </x:c>
      <x:c r="J9" s="149" t="n">
        <x:f>SUM(E9:I9)</x:f>
        <x:v>16576.89375</x:v>
      </x:c>
      <x:c r="K9" s="158"/>
      <x:c r="L9" s="107" t="str">
        <x:v>SA-09: 250/мес первые 6 мес; база года × 1. Резерв мощности под заявленные 10М; драйвер инфляция. Quote/нагрузочный тест обязательны.</x:v>
      </x:c>
    </x:row>
    <x:row r="10" ht="40" customHeight="1">
      <x:c r="B10" s="124" t="s">
        <x:v>78</x:v>
      </x:c>
      <x:c r="C10" s="125" t="str">
        <x:v>инфляция</x:v>
      </x:c>
      <x:c r="D10" s="126" t="n">
        <x:v>6000</x:v>
      </x:c>
      <x:c r="E10" s="149" t="n">
        <x:f>IF($D10="","",$D10*INDEX('Допущения'!$C$25:$G$30,MATCH($C10,'Допущения'!$B$25:$B$30,0),1))</x:f>
        <x:v>6000</x:v>
      </x:c>
      <x:c r="F10" s="149" t="n">
        <x:f>IF($D10="","",$D10*INDEX('Допущения'!$C$25:$G$30,MATCH($C10,'Допущения'!$B$25:$B$30,0),2))</x:f>
        <x:v>6300</x:v>
      </x:c>
      <x:c r="G10" s="149" t="n">
        <x:f>IF($D10="","",$D10*INDEX('Допущения'!$C$25:$G$30,MATCH($C10,'Допущения'!$B$25:$B$30,0),3))</x:f>
        <x:v>6615</x:v>
      </x:c>
      <x:c r="H10" s="149" t="n">
        <x:f>IF($D10="","",$D10*INDEX('Допущения'!$C$25:$G$30,MATCH($C10,'Допущения'!$B$25:$B$30,0),4))</x:f>
        <x:v>6945.750000000001</x:v>
      </x:c>
      <x:c r="I10" s="149" t="n">
        <x:f>IF($D10="","",$D10*INDEX('Допущения'!$C$25:$G$30,MATCH($C10,'Допущения'!$B$25:$B$30,0),5))</x:f>
        <x:v>7293.037500000001</x:v>
      </x:c>
      <x:c r="J10" s="149" t="n">
        <x:f>SUM(E10:I10)</x:f>
        <x:v>33153.7875</x:v>
      </x:c>
      <x:c r="K10" s="158"/>
      <x:c r="L10" s="107" t="str">
        <x:v>SA-09: 500/мес первые 6 мес; база года × 1. Резерв мощности под заявленные 10М; драйвер инфляция. Quote/нагрузочный тест обязательны.</x:v>
      </x:c>
    </x:row>
    <x:row r="11" ht="40" customHeight="1">
      <x:c r="B11" s="124" t="s">
        <x:v>79</x:v>
      </x:c>
      <x:c r="C11" s="125" t="str">
        <x:v>инфляция</x:v>
      </x:c>
      <x:c r="D11" s="126" t="n">
        <x:v>18000</x:v>
      </x:c>
      <x:c r="E11" s="149" t="n">
        <x:f>IF($D11="","",$D11*INDEX('Допущения'!$C$25:$G$30,MATCH($C11,'Допущения'!$B$25:$B$30,0),1))</x:f>
        <x:v>18000</x:v>
      </x:c>
      <x:c r="F11" s="149" t="n">
        <x:f>IF($D11="","",$D11*INDEX('Допущения'!$C$25:$G$30,MATCH($C11,'Допущения'!$B$25:$B$30,0),2))</x:f>
        <x:v>18900</x:v>
      </x:c>
      <x:c r="G11" s="149" t="n">
        <x:f>IF($D11="","",$D11*INDEX('Допущения'!$C$25:$G$30,MATCH($C11,'Допущения'!$B$25:$B$30,0),3))</x:f>
        <x:v>19845</x:v>
      </x:c>
      <x:c r="H11" s="149" t="n">
        <x:f>IF($D11="","",$D11*INDEX('Допущения'!$C$25:$G$30,MATCH($C11,'Допущения'!$B$25:$B$30,0),4))</x:f>
        <x:v>20837.250000000004</x:v>
      </x:c>
      <x:c r="I11" s="149" t="n">
        <x:f>IF($D11="","",$D11*INDEX('Допущения'!$C$25:$G$30,MATCH($C11,'Допущения'!$B$25:$B$30,0),5))</x:f>
        <x:v>21879.112500000003</x:v>
      </x:c>
      <x:c r="J11" s="149" t="n">
        <x:f>SUM(E11:I11)</x:f>
        <x:v>99461.3625</x:v>
      </x:c>
      <x:c r="K11" s="158"/>
      <x:c r="L11" s="107" t="str">
        <x:v>SA-09: 1500/мес первые 6 мес; база года × 1. Резерв мощности под заявленные 10М; драйвер инфляция. Quote/нагрузочный тест обязательны.</x:v>
      </x:c>
    </x:row>
    <x:row r="12" ht="40" customHeight="1">
      <x:c r="B12" s="124" t="s">
        <x:v>80</x:v>
      </x:c>
      <x:c r="C12" s="125" t="str">
        <x:v>инфляция</x:v>
      </x:c>
      <x:c r="D12" s="126" t="n">
        <x:v>24000</x:v>
      </x:c>
      <x:c r="E12" s="149" t="n">
        <x:f>IF($D12="","",$D12*INDEX('Допущения'!$C$25:$G$30,MATCH($C12,'Допущения'!$B$25:$B$30,0),1))</x:f>
        <x:v>24000</x:v>
      </x:c>
      <x:c r="F12" s="149" t="n">
        <x:f>IF($D12="","",$D12*INDEX('Допущения'!$C$25:$G$30,MATCH($C12,'Допущения'!$B$25:$B$30,0),2))</x:f>
        <x:v>25200</x:v>
      </x:c>
      <x:c r="G12" s="149" t="n">
        <x:f>IF($D12="","",$D12*INDEX('Допущения'!$C$25:$G$30,MATCH($C12,'Допущения'!$B$25:$B$30,0),3))</x:f>
        <x:v>26460</x:v>
      </x:c>
      <x:c r="H12" s="149" t="n">
        <x:f>IF($D12="","",$D12*INDEX('Допущения'!$C$25:$G$30,MATCH($C12,'Допущения'!$B$25:$B$30,0),4))</x:f>
        <x:v>27783.000000000004</x:v>
      </x:c>
      <x:c r="I12" s="149" t="n">
        <x:f>IF($D12="","",$D12*INDEX('Допущения'!$C$25:$G$30,MATCH($C12,'Допущения'!$B$25:$B$30,0),5))</x:f>
        <x:v>29172.150000000005</x:v>
      </x:c>
      <x:c r="J12" s="149" t="n">
        <x:f>SUM(E12:I12)</x:f>
        <x:v>132615.15</x:v>
      </x:c>
      <x:c r="K12" s="158"/>
      <x:c r="L12" s="107" t="str">
        <x:v>SA-09: 2000/мес первые 6 мес; база года × 1. Резерв мощности под заявленные 10М; драйвер инфляция. Quote/нагрузочный тест обязательны.</x:v>
      </x:c>
    </x:row>
    <x:row r="13" ht="40" customHeight="1">
      <x:c r="B13" s="124" t="str">
        <x:v>Локальные площадки: каналы и site fees</x:v>
      </x:c>
      <x:c r="C13" s="125" t="str">
        <x:v>инфляция</x:v>
      </x:c>
      <x:c r="D13" s="126" t="n">
        <x:v>12000</x:v>
      </x:c>
      <x:c r="E13" s="149" t="n">
        <x:f>IF($D13="","",$D13*INDEX('Допущения'!$C$25:$G$30,MATCH($C13,'Допущения'!$B$25:$B$30,0),1))</x:f>
        <x:v>12000</x:v>
      </x:c>
      <x:c r="F13" s="149" t="n">
        <x:f>IF($D13="","",$D13*INDEX('Допущения'!$C$25:$G$30,MATCH($C13,'Допущения'!$B$25:$B$30,0),2))</x:f>
        <x:v>12600</x:v>
      </x:c>
      <x:c r="G13" s="149" t="n">
        <x:f>IF($D13="","",$D13*INDEX('Допущения'!$C$25:$G$30,MATCH($C13,'Допущения'!$B$25:$B$30,0),3))</x:f>
        <x:v>13230</x:v>
      </x:c>
      <x:c r="H13" s="149" t="n">
        <x:f>IF($D13="","",$D13*INDEX('Допущения'!$C$25:$G$30,MATCH($C13,'Допущения'!$B$25:$B$30,0),4))</x:f>
        <x:v>13891.500000000002</x:v>
      </x:c>
      <x:c r="I13" s="149" t="n">
        <x:f>IF($D13="","",$D13*INDEX('Допущения'!$C$25:$G$30,MATCH($C13,'Допущения'!$B$25:$B$30,0),5))</x:f>
        <x:v>14586.075000000003</x:v>
      </x:c>
      <x:c r="J13" s="149" t="n">
        <x:f>SUM(E13:I13)</x:f>
        <x:v>66307.575</x:v>
      </x:c>
      <x:c r="K13" s="158"/>
      <x:c r="L13" s="107" t="str">
        <x:v>SA-09: только каналы/площадка; VM и диски уже в Compute/БД — без двойного счёта. Страна хранения согласно временной политике A3 с.1–2.</x:v>
      </x:c>
    </x:row>
    <x:row r="14" ht="40" customHeight="1">
      <x:c r="B14" s="124"/>
      <x:c r="C14" s="125" t="str">
        <x:v>фикс</x:v>
      </x:c>
      <x:c r="D14" s="126" t="n">
        <x:v>0</x:v>
      </x:c>
      <x:c r="E14" s="149" t="str">
        <x:f>IF($D14="","",$D14*INDEX('Допущения'!$C$25:$G$30,MATCH($C14,'Допущения'!$B$25:$B$30,0),1))</x:f>
      </x:c>
      <x:c r="F14" s="149" t="str">
        <x:f>IF($D14="","",$D14*INDEX('Допущения'!$C$25:$G$30,MATCH($C14,'Допущения'!$B$25:$B$30,0),2))</x:f>
      </x:c>
      <x:c r="G14" s="149" t="str">
        <x:f>IF($D14="","",$D14*INDEX('Допущения'!$C$25:$G$30,MATCH($C14,'Допущения'!$B$25:$B$30,0),3))</x:f>
      </x:c>
      <x:c r="H14" s="149" t="str">
        <x:f>IF($D14="","",$D14*INDEX('Допущения'!$C$25:$G$30,MATCH($C14,'Допущения'!$B$25:$B$30,0),4))</x:f>
      </x:c>
      <x:c r="I14" s="149" t="str">
        <x:f>IF($D14="","",$D14*INDEX('Допущения'!$C$25:$G$30,MATCH($C14,'Допущения'!$B$25:$B$30,0),5))</x:f>
      </x:c>
      <x:c r="J14" s="149" t="n">
        <x:f>SUM(E14:I14)</x:f>
        <x:v>0</x:v>
      </x:c>
      <x:c r="K14" s="158"/>
      <x:c r="L14" s="107" t="s">
        <x:v>81</x:v>
      </x:c>
    </x:row>
    <x:row r="15" ht="40" customHeight="1">
      <x:c r="B15" s="128" t="s">
        <x:v>82</x:v>
      </x:c>
      <x:c r="C15" s="129"/>
      <x:c r="D15" s="129"/>
      <x:c r="E15" s="150" t="n">
        <x:f>SUM(E7:E14)</x:f>
        <x:v>165000</x:v>
      </x:c>
      <x:c r="F15" s="150" t="n">
        <x:f>SUM(F7:F14)</x:f>
        <x:v>173250</x:v>
      </x:c>
      <x:c r="G15" s="150" t="n">
        <x:f>SUM(G7:G14)</x:f>
        <x:v>181912.5</x:v>
      </x:c>
      <x:c r="H15" s="150" t="n">
        <x:f>SUM(H7:H14)</x:f>
        <x:v>191008.12500000003</x:v>
      </x:c>
      <x:c r="I15" s="150" t="n">
        <x:f>SUM(I7:I14)</x:f>
        <x:v>200558.53125000003</x:v>
      </x:c>
      <x:c r="J15" s="150" t="n">
        <x:f>SUM(J7:J14)</x:f>
        <x:v>911729.15625</x:v>
      </x:c>
      <x:c r="K15" s="131" t="n">
        <x:f>IFERROR(J15/$J$51,0)</x:f>
        <x:v>0.020253590328751837</x:v>
      </x:c>
      <x:c r="L15" s="129"/>
    </x:row>
    <x:row r="16" ht="40" customHeight="1">
      <x:c r="B16" s="120"/>
      <x:c r="C16" s="132"/>
      <x:c r="D16" s="120"/>
      <x:c r="E16" s="151"/>
      <x:c r="F16" s="151"/>
      <x:c r="G16" s="151"/>
      <x:c r="H16" s="151"/>
      <x:c r="I16" s="151"/>
      <x:c r="J16" s="151"/>
      <x:c r="K16" s="159"/>
      <x:c r="L16" s="120"/>
    </x:row>
    <x:row r="17" ht="40" customHeight="1">
      <x:c r="B17" s="122" t="s">
        <x:v>83</x:v>
      </x:c>
      <x:c r="C17" s="123"/>
      <x:c r="D17" s="123"/>
      <x:c r="E17" s="152"/>
      <x:c r="F17" s="152"/>
      <x:c r="G17" s="152"/>
      <x:c r="H17" s="152"/>
      <x:c r="I17" s="152"/>
      <x:c r="J17" s="152"/>
      <x:c r="K17" s="160"/>
      <x:c r="L17" s="123"/>
    </x:row>
    <x:row r="18" ht="40" customHeight="1">
      <x:c r="B18" s="124" t="s">
        <x:v>84</x:v>
      </x:c>
      <x:c r="C18" s="125" t="str">
        <x:v>инфляция</x:v>
      </x:c>
      <x:c r="D18" s="126" t="n">
        <x:v>10800</x:v>
      </x:c>
      <x:c r="E18" s="149" t="n">
        <x:f>IF($D18="","",$D18*INDEX('Допущения'!$C$25:$G$30,MATCH($C18,'Допущения'!$B$25:$B$30,0),1))</x:f>
        <x:v>10800</x:v>
      </x:c>
      <x:c r="F18" s="149" t="n">
        <x:f>IF($D18="","",$D18*INDEX('Допущения'!$C$25:$G$30,MATCH($C18,'Допущения'!$B$25:$B$30,0),2))</x:f>
        <x:v>11340</x:v>
      </x:c>
      <x:c r="G18" s="149" t="n">
        <x:f>IF($D18="","",$D18*INDEX('Допущения'!$C$25:$G$30,MATCH($C18,'Допущения'!$B$25:$B$30,0),3))</x:f>
        <x:v>11907</x:v>
      </x:c>
      <x:c r="H18" s="149" t="n">
        <x:f>IF($D18="","",$D18*INDEX('Допущения'!$C$25:$G$30,MATCH($C18,'Допущения'!$B$25:$B$30,0),4))</x:f>
        <x:v>12502.350000000002</x:v>
      </x:c>
      <x:c r="I18" s="149" t="n">
        <x:f>IF($D18="","",$D18*INDEX('Допущения'!$C$25:$G$30,MATCH($C18,'Допущения'!$B$25:$B$30,0),5))</x:f>
        <x:v>13127.467500000002</x:v>
      </x:c>
      <x:c r="J18" s="149" t="n">
        <x:f>SUM(E18:I18)</x:f>
        <x:v>59676.817500000005</x:v>
      </x:c>
      <x:c r="K18" s="158"/>
      <x:c r="L18" s="107" t="str">
        <x:v>SA-09: 900/мес первые 6 мес; база года × 1. Резерв мощности под заявленные 10М; драйвер инфляция. Quote/нагрузочный тест обязательны.</x:v>
      </x:c>
    </x:row>
    <x:row r="19" ht="40" customHeight="1">
      <x:c r="B19" s="124" t="s">
        <x:v>85</x:v>
      </x:c>
      <x:c r="C19" s="125" t="str">
        <x:v>инфляция</x:v>
      </x:c>
      <x:c r="D19" s="126" t="n">
        <x:v>2400</x:v>
      </x:c>
      <x:c r="E19" s="149" t="n">
        <x:f>IF($D19="","",$D19*INDEX('Допущения'!$C$25:$G$30,MATCH($C19,'Допущения'!$B$25:$B$30,0),1))</x:f>
        <x:v>2400</x:v>
      </x:c>
      <x:c r="F19" s="149" t="n">
        <x:f>IF($D19="","",$D19*INDEX('Допущения'!$C$25:$G$30,MATCH($C19,'Допущения'!$B$25:$B$30,0),2))</x:f>
        <x:v>2520</x:v>
      </x:c>
      <x:c r="G19" s="149" t="n">
        <x:f>IF($D19="","",$D19*INDEX('Допущения'!$C$25:$G$30,MATCH($C19,'Допущения'!$B$25:$B$30,0),3))</x:f>
        <x:v>2646</x:v>
      </x:c>
      <x:c r="H19" s="149" t="n">
        <x:f>IF($D19="","",$D19*INDEX('Допущения'!$C$25:$G$30,MATCH($C19,'Допущения'!$B$25:$B$30,0),4))</x:f>
        <x:v>2778.3</x:v>
      </x:c>
      <x:c r="I19" s="149" t="n">
        <x:f>IF($D19="","",$D19*INDEX('Допущения'!$C$25:$G$30,MATCH($C19,'Допущения'!$B$25:$B$30,0),5))</x:f>
        <x:v>2917.2150000000006</x:v>
      </x:c>
      <x:c r="J19" s="149" t="n">
        <x:f>SUM(E19:I19)</x:f>
        <x:v>13261.515</x:v>
      </x:c>
      <x:c r="K19" s="158"/>
      <x:c r="L19" s="107" t="s">
        <x:v>86</x:v>
      </x:c>
    </x:row>
    <x:row r="20" ht="40" customHeight="1">
      <x:c r="B20" s="124" t="s">
        <x:v>87</x:v>
      </x:c>
      <x:c r="C20" s="125" t="str">
        <x:v>инфляция</x:v>
      </x:c>
      <x:c r="D20" s="126" t="n">
        <x:v>3600</x:v>
      </x:c>
      <x:c r="E20" s="149" t="n">
        <x:f>IF($D20="","",$D20*INDEX('Допущения'!$C$25:$G$30,MATCH($C20,'Допущения'!$B$25:$B$30,0),1))</x:f>
        <x:v>3600</x:v>
      </x:c>
      <x:c r="F20" s="149" t="n">
        <x:f>IF($D20="","",$D20*INDEX('Допущения'!$C$25:$G$30,MATCH($C20,'Допущения'!$B$25:$B$30,0),2))</x:f>
        <x:v>3780</x:v>
      </x:c>
      <x:c r="G20" s="149" t="n">
        <x:f>IF($D20="","",$D20*INDEX('Допущения'!$C$25:$G$30,MATCH($C20,'Допущения'!$B$25:$B$30,0),3))</x:f>
        <x:v>3969</x:v>
      </x:c>
      <x:c r="H20" s="149" t="n">
        <x:f>IF($D20="","",$D20*INDEX('Допущения'!$C$25:$G$30,MATCH($C20,'Допущения'!$B$25:$B$30,0),4))</x:f>
        <x:v>4167.450000000001</x:v>
      </x:c>
      <x:c r="I20" s="149" t="n">
        <x:f>IF($D20="","",$D20*INDEX('Допущения'!$C$25:$G$30,MATCH($C20,'Допущения'!$B$25:$B$30,0),5))</x:f>
        <x:v>4375.822500000001</x:v>
      </x:c>
      <x:c r="J20" s="149" t="n">
        <x:f>SUM(E20:I20)</x:f>
        <x:v>19892.272500000003</x:v>
      </x:c>
      <x:c r="K20" s="158"/>
      <x:c r="L20" s="107" t="str">
        <x:v>SA-09: 300/мес первые 6 мес; база года × 1. Резерв мощности под заявленные 10М; драйвер инфляция. Quote/нагрузочный тест обязательны.</x:v>
      </x:c>
    </x:row>
    <x:row r="21" ht="40" customHeight="1">
      <x:c r="B21" s="124" t="str">
        <x:v>WhatsApp/BSP: постоянная плата</x:v>
      </x:c>
      <x:c r="C21" s="125" t="str">
        <x:v>инфляция</x:v>
      </x:c>
      <x:c r="D21" s="126" t="n">
        <x:v>600</x:v>
      </x:c>
      <x:c r="E21" s="149" t="n">
        <x:f>IF($D21="","",$D21*INDEX('Допущения'!$C$25:$G$30,MATCH($C21,'Допущения'!$B$25:$B$30,0),1))</x:f>
        <x:v>600</x:v>
      </x:c>
      <x:c r="F21" s="149" t="n">
        <x:f>IF($D21="","",$D21*INDEX('Допущения'!$C$25:$G$30,MATCH($C21,'Допущения'!$B$25:$B$30,0),2))</x:f>
        <x:v>630</x:v>
      </x:c>
      <x:c r="G21" s="149" t="n">
        <x:f>IF($D21="","",$D21*INDEX('Допущения'!$C$25:$G$30,MATCH($C21,'Допущения'!$B$25:$B$30,0),3))</x:f>
        <x:v>661.5</x:v>
      </x:c>
      <x:c r="H21" s="149" t="n">
        <x:f>IF($D21="","",$D21*INDEX('Допущения'!$C$25:$G$30,MATCH($C21,'Допущения'!$B$25:$B$30,0),4))</x:f>
        <x:v>694.575</x:v>
      </x:c>
      <x:c r="I21" s="149" t="n">
        <x:f>IF($D21="","",$D21*INDEX('Допущения'!$C$25:$G$30,MATCH($C21,'Допущения'!$B$25:$B$30,0),5))</x:f>
        <x:v>729.3037500000002</x:v>
      </x:c>
      <x:c r="J21" s="149" t="n">
        <x:f>SUM(E21:I21)</x:f>
        <x:v>3315.37875</x:v>
      </x:c>
      <x:c r="K21" s="158"/>
      <x:c r="L21" s="107" t="s">
        <x:v>88</x:v>
      </x:c>
    </x:row>
    <x:row r="22" ht="40" customHeight="1">
      <x:c r="B22" s="124" t="s">
        <x:v>89</x:v>
      </x:c>
      <x:c r="C22" s="125" t="str">
        <x:v>инфляция</x:v>
      </x:c>
      <x:c r="D22" s="126" t="n">
        <x:v>1200</x:v>
      </x:c>
      <x:c r="E22" s="149" t="n">
        <x:f>IF($D22="","",$D22*INDEX('Допущения'!$C$25:$G$30,MATCH($C22,'Допущения'!$B$25:$B$30,0),1))</x:f>
        <x:v>1200</x:v>
      </x:c>
      <x:c r="F22" s="149" t="n">
        <x:f>IF($D22="","",$D22*INDEX('Допущения'!$C$25:$G$30,MATCH($C22,'Допущения'!$B$25:$B$30,0),2))</x:f>
        <x:v>1260</x:v>
      </x:c>
      <x:c r="G22" s="149" t="n">
        <x:f>IF($D22="","",$D22*INDEX('Допущения'!$C$25:$G$30,MATCH($C22,'Допущения'!$B$25:$B$30,0),3))</x:f>
        <x:v>1323</x:v>
      </x:c>
      <x:c r="H22" s="149" t="n">
        <x:f>IF($D22="","",$D22*INDEX('Допущения'!$C$25:$G$30,MATCH($C22,'Допущения'!$B$25:$B$30,0),4))</x:f>
        <x:v>1389.15</x:v>
      </x:c>
      <x:c r="I22" s="149" t="n">
        <x:f>IF($D22="","",$D22*INDEX('Допущения'!$C$25:$G$30,MATCH($C22,'Допущения'!$B$25:$B$30,0),5))</x:f>
        <x:v>1458.6075000000003</x:v>
      </x:c>
      <x:c r="J22" s="149" t="n">
        <x:f>SUM(E22:I22)</x:f>
        <x:v>6630.7575</x:v>
      </x:c>
      <x:c r="K22" s="158"/>
      <x:c r="L22" s="107" t="s">
        <x:v>90</x:v>
      </x:c>
    </x:row>
    <x:row r="23" ht="40" customHeight="1">
      <x:c r="B23" s="124" t="str">
        <x:v>Oracle EE: ежегодная поддержка</x:v>
      </x:c>
      <x:c r="C23" s="125" t="str">
        <x:v>инфляция</x:v>
      </x:c>
      <x:c r="D23" s="126" t="n">
        <x:v>41800</x:v>
      </x:c>
      <x:c r="E23" s="149" t="n">
        <x:f>IF($D23="","",$D23*INDEX('Допущения'!$C$25:$G$30,MATCH($C23,'Допущения'!$B$25:$B$30,0),1))</x:f>
        <x:v>41800</x:v>
      </x:c>
      <x:c r="F23" s="149" t="n">
        <x:f>IF($D23="","",$D23*INDEX('Допущения'!$C$25:$G$30,MATCH($C23,'Допущения'!$B$25:$B$30,0),2))</x:f>
        <x:v>43890</x:v>
      </x:c>
      <x:c r="G23" s="149" t="n">
        <x:f>IF($D23="","",$D23*INDEX('Допущения'!$C$25:$G$30,MATCH($C23,'Допущения'!$B$25:$B$30,0),3))</x:f>
        <x:v>46084.5</x:v>
      </x:c>
      <x:c r="H23" s="149" t="n">
        <x:f>IF($D23="","",$D23*INDEX('Допущения'!$C$25:$G$30,MATCH($C23,'Допущения'!$B$25:$B$30,0),4))</x:f>
        <x:v>48388.725000000006</x:v>
      </x:c>
      <x:c r="I23" s="149" t="n">
        <x:f>IF($D23="","",$D23*INDEX('Допущения'!$C$25:$G$30,MATCH($C23,'Допущения'!$B$25:$B$30,0),5))</x:f>
        <x:v>50808.16125000001</x:v>
      </x:c>
      <x:c r="J23" s="149" t="n">
        <x:f>SUM(E23:I23)</x:f>
        <x:v>230971.38625</x:v>
      </x:c>
      <x:c r="K23" s="158"/>
      <x:c r="L23" s="107" t="str">
        <x:v>Oracle 4 Processor × $10450; вариант EE допущен для сравнения, не требование A5. Лицензирование/опции требуют quote.</x:v>
      </x:c>
    </x:row>
    <x:row r="24" ht="40" customHeight="1">
      <x:c r="B24" s="128" t="s">
        <x:v>82</x:v>
      </x:c>
      <x:c r="C24" s="129"/>
      <x:c r="D24" s="129"/>
      <x:c r="E24" s="150" t="n">
        <x:f>SUM(E18:E23)</x:f>
        <x:v>60400</x:v>
      </x:c>
      <x:c r="F24" s="150" t="n">
        <x:f>SUM(F18:F23)</x:f>
        <x:v>63420</x:v>
      </x:c>
      <x:c r="G24" s="150" t="n">
        <x:f>SUM(G18:G23)</x:f>
        <x:v>66591</x:v>
      </x:c>
      <x:c r="H24" s="150" t="n">
        <x:f>SUM(H18:H23)</x:f>
        <x:v>69920.55000000002</x:v>
      </x:c>
      <x:c r="I24" s="150" t="n">
        <x:f>SUM(I18:I23)</x:f>
        <x:v>73416.57750000001</x:v>
      </x:c>
      <x:c r="J24" s="150" t="n">
        <x:f>SUM(J18:J23)</x:f>
        <x:v>333748.12750000006</x:v>
      </x:c>
      <x:c r="K24" s="131" t="n">
        <x:f>IFERROR(J24/$J$51,0)</x:f>
        <x:v>0.007414041550646129</x:v>
      </x:c>
      <x:c r="L24" s="129"/>
    </x:row>
    <x:row r="25" ht="40" customHeight="1">
      <x:c r="B25" s="120"/>
      <x:c r="C25" s="132"/>
      <x:c r="D25" s="120"/>
      <x:c r="E25" s="151"/>
      <x:c r="F25" s="151"/>
      <x:c r="G25" s="151"/>
      <x:c r="H25" s="151"/>
      <x:c r="I25" s="151"/>
      <x:c r="J25" s="151"/>
      <x:c r="K25" s="159"/>
      <x:c r="L25" s="120"/>
    </x:row>
    <x:row r="26" ht="40" customHeight="1">
      <x:c r="B26" s="122" t="s">
        <x:v>91</x:v>
      </x:c>
      <x:c r="C26" s="123"/>
      <x:c r="D26" s="123"/>
      <x:c r="E26" s="152"/>
      <x:c r="F26" s="152"/>
      <x:c r="G26" s="152"/>
      <x:c r="H26" s="152"/>
      <x:c r="I26" s="152"/>
      <x:c r="J26" s="152"/>
      <x:c r="K26" s="160"/>
      <x:c r="L26" s="123"/>
    </x:row>
    <x:row r="27" ht="40" customHeight="1">
      <x:c r="B27" s="124" t="s">
        <x:v>92</x:v>
      </x:c>
      <x:c r="C27" s="125" t="str">
        <x:v>GMV</x:v>
      </x:c>
      <x:c r="D27" s="126" t="n">
        <x:v>440000</x:v>
      </x:c>
      <x:c r="E27" s="149" t="n">
        <x:f>IF($D27="","",$D27*INDEX('Допущения'!$C$25:$G$30,MATCH($C27,'Допущения'!$B$25:$B$30,0),1))</x:f>
        <x:v>440000</x:v>
      </x:c>
      <x:c r="F27" s="149" t="n">
        <x:f>IF($D27="","",$D27*INDEX('Допущения'!$C$25:$G$30,MATCH($C27,'Допущения'!$B$25:$B$30,0),2))</x:f>
        <x:v>1375000</x:v>
      </x:c>
      <x:c r="G27" s="149" t="n">
        <x:f>IF($D27="","",$D27*INDEX('Допущения'!$C$25:$G$30,MATCH($C27,'Допущения'!$B$25:$B$30,0),3))</x:f>
        <x:v>3300000</x:v>
      </x:c>
      <x:c r="H27" s="149" t="n">
        <x:f>IF($D27="","",$D27*INDEX('Допущения'!$C$25:$G$30,MATCH($C27,'Допущения'!$B$25:$B$30,0),4))</x:f>
        <x:v>6600000</x:v>
      </x:c>
      <x:c r="I27" s="149" t="n">
        <x:f>IF($D27="","",$D27*INDEX('Допущения'!$C$25:$G$30,MATCH($C27,'Допущения'!$B$25:$B$30,0),5))</x:f>
        <x:v>11000000</x:v>
      </x:c>
      <x:c r="J27" s="149" t="n">
        <x:f>SUM(E27:I27)</x:f>
        <x:v>22715000</x:v>
      </x:c>
      <x:c r="K27" s="158"/>
      <x:c r="L27" s="107" t="str">
        <x:v>SA-05: 2,2% GMV, сборы/FX/налоги включены по гипотезе договора. 2,5% — потолок A6, не текущая оферта.</x:v>
      </x:c>
    </x:row>
    <x:row r="28" ht="40" customHeight="1">
      <x:c r="B28" s="124" t="s">
        <x:v>93</x:v>
      </x:c>
      <x:c r="C28" s="125" t="str">
        <x:v>заказы</x:v>
      </x:c>
      <x:c r="D28" s="126" t="n">
        <x:v>64000</x:v>
      </x:c>
      <x:c r="E28" s="149" t="n">
        <x:f>IF($D28="","",$D28*INDEX('Допущения'!$C$25:$G$30,MATCH($C28,'Допущения'!$B$25:$B$30,0),1))</x:f>
        <x:v>64000</x:v>
      </x:c>
      <x:c r="F28" s="149" t="n">
        <x:f>IF($D28="","",$D28*INDEX('Допущения'!$C$25:$G$30,MATCH($C28,'Допущения'!$B$25:$B$30,0),2))</x:f>
        <x:v>200000</x:v>
      </x:c>
      <x:c r="G28" s="149" t="n">
        <x:f>IF($D28="","",$D28*INDEX('Допущения'!$C$25:$G$30,MATCH($C28,'Допущения'!$B$25:$B$30,0),3))</x:f>
        <x:v>480000</x:v>
      </x:c>
      <x:c r="H28" s="149" t="n">
        <x:f>IF($D28="","",$D28*INDEX('Допущения'!$C$25:$G$30,MATCH($C28,'Допущения'!$B$25:$B$30,0),4))</x:f>
        <x:v>960000</x:v>
      </x:c>
      <x:c r="I28" s="149" t="n">
        <x:f>IF($D28="","",$D28*INDEX('Допущения'!$C$25:$G$30,MATCH($C28,'Допущения'!$B$25:$B$30,0),5))</x:f>
        <x:v>1600000</x:v>
      </x:c>
      <x:c r="J28" s="149" t="n">
        <x:f>SUM(E28:I28)</x:f>
        <x:v>3304000</x:v>
      </x:c>
      <x:c r="K28" s="158"/>
      <x:c r="L28" s="107" t="str">
        <x:v>SA-06: 2 SMS × $0,04 × заказы.</x:v>
      </x:c>
    </x:row>
    <x:row r="29" ht="40" customHeight="1">
      <x:c r="B29" s="124" t="str">
        <x:v>WhatsApp: сообщения, не диалоги</x:v>
      </x:c>
      <x:c r="C29" s="125" t="str">
        <x:v>заказы</x:v>
      </x:c>
      <x:c r="D29" s="126" t="n">
        <x:v>16000</x:v>
      </x:c>
      <x:c r="E29" s="149" t="n">
        <x:f>IF($D29="","",$D29*INDEX('Допущения'!$C$25:$G$30,MATCH($C29,'Допущения'!$B$25:$B$30,0),1))</x:f>
        <x:v>16000</x:v>
      </x:c>
      <x:c r="F29" s="149" t="n">
        <x:f>IF($D29="","",$D29*INDEX('Допущения'!$C$25:$G$30,MATCH($C29,'Допущения'!$B$25:$B$30,0),2))</x:f>
        <x:v>50000</x:v>
      </x:c>
      <x:c r="G29" s="149" t="n">
        <x:f>IF($D29="","",$D29*INDEX('Допущения'!$C$25:$G$30,MATCH($C29,'Допущения'!$B$25:$B$30,0),3))</x:f>
        <x:v>120000</x:v>
      </x:c>
      <x:c r="H29" s="149" t="n">
        <x:f>IF($D29="","",$D29*INDEX('Допущения'!$C$25:$G$30,MATCH($C29,'Допущения'!$B$25:$B$30,0),4))</x:f>
        <x:v>240000</x:v>
      </x:c>
      <x:c r="I29" s="149" t="n">
        <x:f>IF($D29="","",$D29*INDEX('Допущения'!$C$25:$G$30,MATCH($C29,'Допущения'!$B$25:$B$30,0),5))</x:f>
        <x:v>400000</x:v>
      </x:c>
      <x:c r="J29" s="149" t="n">
        <x:f>SUM(E29:I29)</x:f>
        <x:v>826000</x:v>
      </x:c>
      <x:c r="K29" s="158"/>
      <x:c r="L29" s="107" t="str">
        <x:v>SA-06: 0,5 сообщения × $0,04 × заказы.</x:v>
      </x:c>
    </x:row>
    <x:row r="30" ht="40" customHeight="1">
      <x:c r="B30" s="124" t="str">
        <x:v>Логистический API/support (без доставки)</x:v>
      </x:c>
      <x:c r="C30" s="125" t="str">
        <x:v>заказы</x:v>
      </x:c>
      <x:c r="D30" s="126" t="n">
        <x:v>40000</x:v>
      </x:c>
      <x:c r="E30" s="149" t="n">
        <x:f>IF($D30="","",$D30*INDEX('Допущения'!$C$25:$G$30,MATCH($C30,'Допущения'!$B$25:$B$30,0),1))</x:f>
        <x:v>40000</x:v>
      </x:c>
      <x:c r="F30" s="149" t="n">
        <x:f>IF($D30="","",$D30*INDEX('Допущения'!$C$25:$G$30,MATCH($C30,'Допущения'!$B$25:$B$30,0),2))</x:f>
        <x:v>125000</x:v>
      </x:c>
      <x:c r="G30" s="149" t="n">
        <x:f>IF($D30="","",$D30*INDEX('Допущения'!$C$25:$G$30,MATCH($C30,'Допущения'!$B$25:$B$30,0),3))</x:f>
        <x:v>300000</x:v>
      </x:c>
      <x:c r="H30" s="149" t="n">
        <x:f>IF($D30="","",$D30*INDEX('Допущения'!$C$25:$G$30,MATCH($C30,'Допущения'!$B$25:$B$30,0),4))</x:f>
        <x:v>600000</x:v>
      </x:c>
      <x:c r="I30" s="149" t="n">
        <x:f>IF($D30="","",$D30*INDEX('Допущения'!$C$25:$G$30,MATCH($C30,'Допущения'!$B$25:$B$30,0),5))</x:f>
        <x:v>1000000</x:v>
      </x:c>
      <x:c r="J30" s="149" t="n">
        <x:f>SUM(E30:I30)</x:f>
        <x:v>2065000</x:v>
      </x:c>
      <x:c r="K30" s="158"/>
      <x:c r="L30" s="107" t="str">
        <x:v>SA-07: $0,05/заказ за API/support; доставка вне IT-модели.</x:v>
      </x:c>
    </x:row>
    <x:row r="31" ht="40" customHeight="1">
      <x:c r="B31" s="124" t="str">
        <x:v>USSD: аренда кода и шлюза</x:v>
      </x:c>
      <x:c r="C31" s="125" t="str">
        <x:v>инфляция</x:v>
      </x:c>
      <x:c r="D31" s="126" t="n">
        <x:v>1200</x:v>
      </x:c>
      <x:c r="E31" s="149" t="n">
        <x:f>IF($D31="","",$D31*INDEX('Допущения'!$C$25:$G$30,MATCH($C31,'Допущения'!$B$25:$B$30,0),1))</x:f>
        <x:v>1200</x:v>
      </x:c>
      <x:c r="F31" s="149" t="n">
        <x:f>IF($D31="","",$D31*INDEX('Допущения'!$C$25:$G$30,MATCH($C31,'Допущения'!$B$25:$B$30,0),2))</x:f>
        <x:v>1260</x:v>
      </x:c>
      <x:c r="G31" s="149" t="n">
        <x:f>IF($D31="","",$D31*INDEX('Допущения'!$C$25:$G$30,MATCH($C31,'Допущения'!$B$25:$B$30,0),3))</x:f>
        <x:v>1323</x:v>
      </x:c>
      <x:c r="H31" s="149" t="n">
        <x:f>IF($D31="","",$D31*INDEX('Допущения'!$C$25:$G$30,MATCH($C31,'Допущения'!$B$25:$B$30,0),4))</x:f>
        <x:v>1389.15</x:v>
      </x:c>
      <x:c r="I31" s="149" t="n">
        <x:f>IF($D31="","",$D31*INDEX('Допущения'!$C$25:$G$30,MATCH($C31,'Допущения'!$B$25:$B$30,0),5))</x:f>
        <x:v>1458.6075000000003</x:v>
      </x:c>
      <x:c r="J31" s="149" t="n">
        <x:f>SUM(E31:I31)</x:f>
        <x:v>6630.7575</x:v>
      </x:c>
      <x:c r="K31" s="158"/>
      <x:c r="L31" s="107" t="s">
        <x:v>81</x:v>
      </x:c>
    </x:row>
    <x:row r="32" ht="40" customHeight="1">
      <x:c r="B32" s="128" t="s">
        <x:v>82</x:v>
      </x:c>
      <x:c r="C32" s="129"/>
      <x:c r="D32" s="129"/>
      <x:c r="E32" s="150" t="n">
        <x:f>SUM(E27:E31)</x:f>
        <x:v>561200</x:v>
      </x:c>
      <x:c r="F32" s="150" t="n">
        <x:f>SUM(F27:F31)</x:f>
        <x:v>1751260</x:v>
      </x:c>
      <x:c r="G32" s="150" t="n">
        <x:f>SUM(G27:G31)</x:f>
        <x:v>4201323</x:v>
      </x:c>
      <x:c r="H32" s="150" t="n">
        <x:f>SUM(H27:H31)</x:f>
        <x:v>8401389.15</x:v>
      </x:c>
      <x:c r="I32" s="150" t="n">
        <x:f>SUM(I27:I31)</x:f>
        <x:v>14001458.6075</x:v>
      </x:c>
      <x:c r="J32" s="150" t="n">
        <x:f>SUM(J27:J31)</x:f>
        <x:v>28916630.7575</x:v>
      </x:c>
      <x:c r="K32" s="131" t="n">
        <x:f>IFERROR(J32/$J$51,0)</x:f>
        <x:v>0.6423679543813974</x:v>
      </x:c>
      <x:c r="L32" s="129"/>
    </x:row>
    <x:row r="33" ht="40" customHeight="1">
      <x:c r="B33" s="120"/>
      <x:c r="C33" s="132"/>
      <x:c r="D33" s="120"/>
      <x:c r="E33" s="151"/>
      <x:c r="F33" s="151"/>
      <x:c r="G33" s="151"/>
      <x:c r="H33" s="151"/>
      <x:c r="I33" s="151"/>
      <x:c r="J33" s="151"/>
      <x:c r="K33" s="159"/>
      <x:c r="L33" s="120"/>
    </x:row>
    <x:row r="34" ht="40" customHeight="1">
      <x:c r="B34" s="122" t="s">
        <x:v>94</x:v>
      </x:c>
      <x:c r="C34" s="123"/>
      <x:c r="D34" s="123"/>
      <x:c r="E34" s="152"/>
      <x:c r="F34" s="152"/>
      <x:c r="G34" s="152"/>
      <x:c r="H34" s="152"/>
      <x:c r="I34" s="152"/>
      <x:c r="J34" s="152"/>
      <x:c r="K34" s="160"/>
      <x:c r="L34" s="123"/>
    </x:row>
    <x:row r="35" ht="40" customHeight="1">
      <x:c r="B35" s="124" t="s">
        <x:v>95</x:v>
      </x:c>
      <x:c r="C35" s="125" t="str">
        <x:v>ФОТ</x:v>
      </x:c>
      <x:c r="D35" s="126" t="n">
        <x:v>600000</x:v>
      </x:c>
      <x:c r="E35" s="149" t="n">
        <x:f>IF($D35="","",$D35*INDEX('Допущения'!$C$25:$G$30,MATCH($C35,'Допущения'!$B$25:$B$30,0),1))</x:f>
        <x:v>600000</x:v>
      </x:c>
      <x:c r="F35" s="149" t="n">
        <x:f>IF($D35="","",$D35*INDEX('Допущения'!$C$25:$G$30,MATCH($C35,'Допущения'!$B$25:$B$30,0),2))</x:f>
        <x:v>780000</x:v>
      </x:c>
      <x:c r="G35" s="149" t="n">
        <x:f>IF($D35="","",$D35*INDEX('Допущения'!$C$25:$G$30,MATCH($C35,'Допущения'!$B$25:$B$30,0),3))</x:f>
        <x:v>1014000.0000000001</x:v>
      </x:c>
      <x:c r="H35" s="149" t="n">
        <x:f>IF($D35="","",$D35*INDEX('Допущения'!$C$25:$G$30,MATCH($C35,'Допущения'!$B$25:$B$30,0),4))</x:f>
        <x:v>1318200.0000000002</x:v>
      </x:c>
      <x:c r="I35" s="149" t="n">
        <x:f>IF($D35="","",$D35*INDEX('Допущения'!$C$25:$G$30,MATCH($C35,'Допущения'!$B$25:$B$30,0),5))</x:f>
        <x:v>1713660.0000000007</x:v>
      </x:c>
      <x:c r="J35" s="149" t="n">
        <x:f>SUM(E35:I35)</x:f>
        <x:v>5425860.000000001</x:v>
      </x:c>
      <x:c r="K35" s="158"/>
      <x:c r="L35" s="107" t="str">
        <x:v>SA-04: 10 FTE × $5000 × 12; ФОТ +30%/год. Начальная разработка входит в этот ФОТ, второй раз не добавляется.</x:v>
      </x:c>
    </x:row>
    <x:row r="36" ht="40" customHeight="1">
      <x:c r="B36" s="124" t="s">
        <x:v>96</x:v>
      </x:c>
      <x:c r="C36" s="125" t="str">
        <x:v>ФОТ</x:v>
      </x:c>
      <x:c r="D36" s="126" t="n">
        <x:v>240000</x:v>
      </x:c>
      <x:c r="E36" s="149" t="n">
        <x:f>IF($D36="","",$D36*INDEX('Допущения'!$C$25:$G$30,MATCH($C36,'Допущения'!$B$25:$B$30,0),1))</x:f>
        <x:v>240000</x:v>
      </x:c>
      <x:c r="F36" s="149" t="n">
        <x:f>IF($D36="","",$D36*INDEX('Допущения'!$C$25:$G$30,MATCH($C36,'Допущения'!$B$25:$B$30,0),2))</x:f>
        <x:v>312000</x:v>
      </x:c>
      <x:c r="G36" s="149" t="n">
        <x:f>IF($D36="","",$D36*INDEX('Допущения'!$C$25:$G$30,MATCH($C36,'Допущения'!$B$25:$B$30,0),3))</x:f>
        <x:v>405600.00000000006</x:v>
      </x:c>
      <x:c r="H36" s="149" t="n">
        <x:f>IF($D36="","",$D36*INDEX('Допущения'!$C$25:$G$30,MATCH($C36,'Допущения'!$B$25:$B$30,0),4))</x:f>
        <x:v>527280.0000000001</x:v>
      </x:c>
      <x:c r="I36" s="149" t="n">
        <x:f>IF($D36="","",$D36*INDEX('Допущения'!$C$25:$G$30,MATCH($C36,'Допущения'!$B$25:$B$30,0),5))</x:f>
        <x:v>685464.0000000002</x:v>
      </x:c>
      <x:c r="J36" s="149" t="n">
        <x:f>SUM(E36:I36)</x:f>
        <x:v>2170344</x:v>
      </x:c>
      <x:c r="K36" s="158"/>
      <x:c r="L36" s="107" t="str">
        <x:v>SA-04: 4 FTE × $5000 × 12; ФОТ +30%/год. Начальная разработка входит в этот ФОТ, второй раз не добавляется.</x:v>
      </x:c>
    </x:row>
    <x:row r="37" ht="40" customHeight="1">
      <x:c r="B37" s="124" t="s">
        <x:v>97</x:v>
      </x:c>
      <x:c r="C37" s="125" t="str">
        <x:v>ФОТ</x:v>
      </x:c>
      <x:c r="D37" s="126" t="n">
        <x:v>120000</x:v>
      </x:c>
      <x:c r="E37" s="149" t="n">
        <x:f>IF($D37="","",$D37*INDEX('Допущения'!$C$25:$G$30,MATCH($C37,'Допущения'!$B$25:$B$30,0),1))</x:f>
        <x:v>120000</x:v>
      </x:c>
      <x:c r="F37" s="149" t="n">
        <x:f>IF($D37="","",$D37*INDEX('Допущения'!$C$25:$G$30,MATCH($C37,'Допущения'!$B$25:$B$30,0),2))</x:f>
        <x:v>156000</x:v>
      </x:c>
      <x:c r="G37" s="149" t="n">
        <x:f>IF($D37="","",$D37*INDEX('Допущения'!$C$25:$G$30,MATCH($C37,'Допущения'!$B$25:$B$30,0),3))</x:f>
        <x:v>202800.00000000003</x:v>
      </x:c>
      <x:c r="H37" s="149" t="n">
        <x:f>IF($D37="","",$D37*INDEX('Допущения'!$C$25:$G$30,MATCH($C37,'Допущения'!$B$25:$B$30,0),4))</x:f>
        <x:v>263640.00000000006</x:v>
      </x:c>
      <x:c r="I37" s="149" t="n">
        <x:f>IF($D37="","",$D37*INDEX('Допущения'!$C$25:$G$30,MATCH($C37,'Допущения'!$B$25:$B$30,0),5))</x:f>
        <x:v>342732.0000000001</x:v>
      </x:c>
      <x:c r="J37" s="149" t="n">
        <x:f>SUM(E37:I37)</x:f>
        <x:v>1085172</x:v>
      </x:c>
      <x:c r="K37" s="158"/>
      <x:c r="L37" s="107" t="str">
        <x:v>SA-04: операторы/поддержка, плановая ротация инженеров по вызову. Не доказывает автономный staffed 24/7 центр или 99,99%.</x:v>
      </x:c>
    </x:row>
    <x:row r="38" ht="40" customHeight="1">
      <x:c r="B38" s="124" t="s">
        <x:v>98</x:v>
      </x:c>
      <x:c r="C38" s="125" t="str">
        <x:v>ФОТ</x:v>
      </x:c>
      <x:c r="D38" s="126" t="n">
        <x:v>120000</x:v>
      </x:c>
      <x:c r="E38" s="149" t="n">
        <x:f>IF($D38="","",$D38*INDEX('Допущения'!$C$25:$G$30,MATCH($C38,'Допущения'!$B$25:$B$30,0),1))</x:f>
        <x:v>120000</x:v>
      </x:c>
      <x:c r="F38" s="149" t="n">
        <x:f>IF($D38="","",$D38*INDEX('Допущения'!$C$25:$G$30,MATCH($C38,'Допущения'!$B$25:$B$30,0),2))</x:f>
        <x:v>156000</x:v>
      </x:c>
      <x:c r="G38" s="149" t="n">
        <x:f>IF($D38="","",$D38*INDEX('Допущения'!$C$25:$G$30,MATCH($C38,'Допущения'!$B$25:$B$30,0),3))</x:f>
        <x:v>202800.00000000003</x:v>
      </x:c>
      <x:c r="H38" s="149" t="n">
        <x:f>IF($D38="","",$D38*INDEX('Допущения'!$C$25:$G$30,MATCH($C38,'Допущения'!$B$25:$B$30,0),4))</x:f>
        <x:v>263640.00000000006</x:v>
      </x:c>
      <x:c r="I38" s="149" t="n">
        <x:f>IF($D38="","",$D38*INDEX('Допущения'!$C$25:$G$30,MATCH($C38,'Допущения'!$B$25:$B$30,0),5))</x:f>
        <x:v>342732.0000000001</x:v>
      </x:c>
      <x:c r="J38" s="149" t="n">
        <x:f>SUM(E38:I38)</x:f>
        <x:v>1085172</x:v>
      </x:c>
      <x:c r="K38" s="158"/>
      <x:c r="L38" s="107" t="str">
        <x:v>SA-04: доля существующих архитектора/CTO; CEO — владелец продукта. Корпоративный ФОТ остальных C-level вне IT-модели.</x:v>
      </x:c>
    </x:row>
    <x:row r="39" ht="40" customHeight="1">
      <x:c r="B39" s="124"/>
      <x:c r="C39" s="125" t="str">
        <x:v>фикс</x:v>
      </x:c>
      <x:c r="D39" s="126" t="n">
        <x:v>0</x:v>
      </x:c>
      <x:c r="E39" s="149" t="str">
        <x:f>IF($D39="","",$D39*INDEX('Допущения'!$C$25:$G$30,MATCH($C39,'Допущения'!$B$25:$B$30,0),1))</x:f>
      </x:c>
      <x:c r="F39" s="149" t="str">
        <x:f>IF($D39="","",$D39*INDEX('Допущения'!$C$25:$G$30,MATCH($C39,'Допущения'!$B$25:$B$30,0),2))</x:f>
      </x:c>
      <x:c r="G39" s="149" t="str">
        <x:f>IF($D39="","",$D39*INDEX('Допущения'!$C$25:$G$30,MATCH($C39,'Допущения'!$B$25:$B$30,0),3))</x:f>
      </x:c>
      <x:c r="H39" s="149" t="str">
        <x:f>IF($D39="","",$D39*INDEX('Допущения'!$C$25:$G$30,MATCH($C39,'Допущения'!$B$25:$B$30,0),4))</x:f>
      </x:c>
      <x:c r="I39" s="149" t="str">
        <x:f>IF($D39="","",$D39*INDEX('Допущения'!$C$25:$G$30,MATCH($C39,'Допущения'!$B$25:$B$30,0),5))</x:f>
      </x:c>
      <x:c r="J39" s="149" t="n">
        <x:f>SUM(E39:I39)</x:f>
        <x:v>0</x:v>
      </x:c>
      <x:c r="K39" s="158"/>
      <x:c r="L39" s="107" t="s">
        <x:v>81</x:v>
      </x:c>
    </x:row>
    <x:row r="40" ht="40" customHeight="1">
      <x:c r="B40" s="128" t="s">
        <x:v>82</x:v>
      </x:c>
      <x:c r="C40" s="129"/>
      <x:c r="D40" s="129"/>
      <x:c r="E40" s="150" t="n">
        <x:f>SUM(E35:E39)</x:f>
        <x:v>1080000</x:v>
      </x:c>
      <x:c r="F40" s="150" t="n">
        <x:f>SUM(F35:F39)</x:f>
        <x:v>1404000</x:v>
      </x:c>
      <x:c r="G40" s="150" t="n">
        <x:f>SUM(G35:G39)</x:f>
        <x:v>1825200.0000000002</x:v>
      </x:c>
      <x:c r="H40" s="150" t="n">
        <x:f>SUM(H35:H39)</x:f>
        <x:v>2372760.0000000005</x:v>
      </x:c>
      <x:c r="I40" s="150" t="n">
        <x:f>SUM(I35:I39)</x:f>
        <x:v>3084588.000000001</x:v>
      </x:c>
      <x:c r="J40" s="150" t="n">
        <x:f>SUM(J35:J39)</x:f>
        <x:v>9766548</x:v>
      </x:c>
      <x:c r="K40" s="131" t="n">
        <x:f>IFERROR(J40/$J$51,0)</x:f>
        <x:v>0.21695879830330983</x:v>
      </x:c>
      <x:c r="L40" s="129"/>
    </x:row>
    <x:row r="41" ht="40" customHeight="1">
      <x:c r="B41" s="120"/>
      <x:c r="C41" s="132"/>
      <x:c r="D41" s="120"/>
      <x:c r="E41" s="151"/>
      <x:c r="F41" s="151"/>
      <x:c r="G41" s="151"/>
      <x:c r="H41" s="151"/>
      <x:c r="I41" s="151"/>
      <x:c r="J41" s="151"/>
      <x:c r="K41" s="159"/>
      <x:c r="L41" s="120"/>
    </x:row>
    <x:row r="42" ht="40" customHeight="1">
      <x:c r="B42" s="122" t="s">
        <x:v>99</x:v>
      </x:c>
      <x:c r="C42" s="123"/>
      <x:c r="D42" s="123"/>
      <x:c r="E42" s="152"/>
      <x:c r="F42" s="152"/>
      <x:c r="G42" s="152"/>
      <x:c r="H42" s="152"/>
      <x:c r="I42" s="152"/>
      <x:c r="J42" s="152"/>
      <x:c r="K42" s="160"/>
      <x:c r="L42" s="123"/>
    </x:row>
    <x:row r="43" ht="40" customHeight="1">
      <x:c r="B43" s="124" t="s">
        <x:v>100</x:v>
      </x:c>
      <x:c r="C43" s="125" t="str">
        <x:v>фикс</x:v>
      </x:c>
      <x:c r="D43" s="126" t="n">
        <x:v>45000</x:v>
      </x:c>
      <x:c r="E43" s="149" t="n">
        <x:f>IF($D43="","",$D43*INDEX('Допущения'!$C$25:$G$30,MATCH($C43,'Допущения'!$B$25:$B$30,0),1))</x:f>
        <x:v>45000</x:v>
      </x:c>
      <x:c r="F43" s="153" t="n">
        <x:v>40000</x:v>
      </x:c>
      <x:c r="G43" s="153" t="n">
        <x:v>70000</x:v>
      </x:c>
      <x:c r="H43" s="153" t="n">
        <x:v>70000</x:v>
      </x:c>
      <x:c r="I43" s="153" t="n">
        <x:v>70000</x:v>
      </x:c>
      <x:c r="J43" s="149" t="n">
        <x:f>SUM(E43:I43)</x:f>
        <x:v>295000</x:v>
      </x:c>
      <x:c r="K43" s="158"/>
      <x:c r="L43" s="107" t="str">
        <x:v>SA-10: первичный аудит + новые страны/ежегодные проверки. Плановые повторные суммы явно заданы, не автоматическое повторение разовой статьи.</x:v>
      </x:c>
    </x:row>
    <x:row r="44" ht="40" customHeight="1">
      <x:c r="B44" s="124" t="s">
        <x:v>101</x:v>
      </x:c>
      <x:c r="C44" s="125" t="str">
        <x:v>инфляция</x:v>
      </x:c>
      <x:c r="D44" s="126" t="n">
        <x:v>35000</x:v>
      </x:c>
      <x:c r="E44" s="149" t="n">
        <x:f>IF($D44="","",$D44*INDEX('Допущения'!$C$25:$G$30,MATCH($C44,'Допущения'!$B$25:$B$30,0),1))</x:f>
        <x:v>35000</x:v>
      </x:c>
      <x:c r="F44" s="149" t="n">
        <x:f>IF($D44="","",$D44*INDEX('Допущения'!$C$25:$G$30,MATCH($C44,'Допущения'!$B$25:$B$30,0),2))</x:f>
        <x:v>36750</x:v>
      </x:c>
      <x:c r="G44" s="149" t="n">
        <x:f>IF($D44="","",$D44*INDEX('Допущения'!$C$25:$G$30,MATCH($C44,'Допущения'!$B$25:$B$30,0),3))</x:f>
        <x:v>38587.5</x:v>
      </x:c>
      <x:c r="H44" s="149" t="n">
        <x:f>IF($D44="","",$D44*INDEX('Допущения'!$C$25:$G$30,MATCH($C44,'Допущения'!$B$25:$B$30,0),4))</x:f>
        <x:v>40516.87500000001</x:v>
      </x:c>
      <x:c r="I44" s="149" t="n">
        <x:f>IF($D44="","",$D44*INDEX('Допущения'!$C$25:$G$30,MATCH($C44,'Допущения'!$B$25:$B$30,0),5))</x:f>
        <x:v>42542.71875000001</x:v>
      </x:c>
      <x:c r="J44" s="149" t="n">
        <x:f>SUM(E44:I44)</x:f>
        <x:v>193397.09375</x:v>
      </x:c>
      <x:c r="K44" s="158"/>
      <x:c r="L44" s="107" t="s">
        <x:v>102</x:v>
      </x:c>
    </x:row>
    <x:row r="45" ht="40" customHeight="1">
      <x:c r="B45" s="124" t="str">
        <x:v>Начальная интеграция / выделение сервисов</x:v>
      </x:c>
      <x:c r="C45" s="125" t="str">
        <x:v>фикс</x:v>
      </x:c>
      <x:c r="D45" s="126" t="n">
        <x:v>25000</x:v>
      </x:c>
      <x:c r="E45" s="149" t="n">
        <x:f>IF($D45="","",$D45*INDEX('Допущения'!$C$25:$G$30,MATCH($C45,'Допущения'!$B$25:$B$30,0),1))</x:f>
        <x:v>25000</x:v>
      </x:c>
      <x:c r="F45" s="153" t="n">
        <x:v>0</x:v>
      </x:c>
      <x:c r="G45" s="153" t="n">
        <x:v>20000</x:v>
      </x:c>
      <x:c r="H45" s="153" t="n">
        <x:v>0</x:v>
      </x:c>
      <x:c r="I45" s="153" t="n">
        <x:v>0</x:v>
      </x:c>
      <x:c r="J45" s="149" t="n">
        <x:f>SUM(E45:I45)</x:f>
        <x:v>45000</x:v>
      </x:c>
      <x:c r="K45" s="158"/>
      <x:c r="L45" s="107" t="str">
        <x:v>SA-11: разовый запуск 25000; Год 3 миграция 20000; включает дополнительный подряд, тесты и параллельную среду сверх обычного ФОТ.</x:v>
      </x:c>
    </x:row>
    <x:row r="46" ht="40" customHeight="1">
      <x:c r="B46" s="124" t="s">
        <x:v>103</x:v>
      </x:c>
      <x:c r="C46" s="125" t="str">
        <x:v>ФОТ</x:v>
      </x:c>
      <x:c r="D46" s="126" t="n">
        <x:v>30000</x:v>
      </x:c>
      <x:c r="E46" s="149" t="n">
        <x:f>IF($D46="","",$D46*INDEX('Допущения'!$C$25:$G$30,MATCH($C46,'Допущения'!$B$25:$B$30,0),1))</x:f>
        <x:v>30000</x:v>
      </x:c>
      <x:c r="F46" s="149" t="n">
        <x:f>IF($D46="","",$D46*INDEX('Допущения'!$C$25:$G$30,MATCH($C46,'Допущения'!$B$25:$B$30,0),2))</x:f>
        <x:v>39000</x:v>
      </x:c>
      <x:c r="G46" s="149" t="n">
        <x:f>IF($D46="","",$D46*INDEX('Допущения'!$C$25:$G$30,MATCH($C46,'Допущения'!$B$25:$B$30,0),3))</x:f>
        <x:v>50700.00000000001</x:v>
      </x:c>
      <x:c r="H46" s="149" t="n">
        <x:f>IF($D46="","",$D46*INDEX('Допущения'!$C$25:$G$30,MATCH($C46,'Допущения'!$B$25:$B$30,0),4))</x:f>
        <x:v>65910.00000000001</x:v>
      </x:c>
      <x:c r="I46" s="149" t="n">
        <x:f>IF($D46="","",$D46*INDEX('Допущения'!$C$25:$G$30,MATCH($C46,'Допущения'!$B$25:$B$30,0),5))</x:f>
        <x:v>85683.00000000003</x:v>
      </x:c>
      <x:c r="J46" s="149" t="n">
        <x:f>SUM(E46:I46)</x:f>
        <x:v>271293</x:v>
      </x:c>
      <x:c r="K46" s="158"/>
      <x:c r="L46" s="107" t="s">
        <x:v>104</x:v>
      </x:c>
    </x:row>
    <x:row r="47" ht="40" customHeight="1">
      <x:c r="B47" s="124" t="str">
        <x:v>Oracle EE: разовые лицензии</x:v>
      </x:c>
      <x:c r="C47" s="125" t="str">
        <x:v>фикс</x:v>
      </x:c>
      <x:c r="D47" s="126" t="n">
        <x:v>190000</x:v>
      </x:c>
      <x:c r="E47" s="149" t="n">
        <x:f>IF($D47="","",$D47*INDEX('Допущения'!$C$25:$G$30,MATCH($C47,'Допущения'!$B$25:$B$30,0),1))</x:f>
        <x:v>190000</x:v>
      </x:c>
      <x:c r="F47" s="153" t="n">
        <x:v>0</x:v>
      </x:c>
      <x:c r="G47" s="153" t="n">
        <x:v>0</x:v>
      </x:c>
      <x:c r="H47" s="153" t="n">
        <x:v>0</x:v>
      </x:c>
      <x:c r="I47" s="153" t="n">
        <x:v>0</x:v>
      </x:c>
      <x:c r="J47" s="149" t="n">
        <x:f>SUM(E47:I47)</x:f>
        <x:v>190000</x:v>
      </x:c>
      <x:c r="K47" s="158"/>
      <x:c r="L47" s="107" t="str">
        <x:v>Oracle 4 × $47500 = 190000. Только Год 1; без RAC/ADG, налогов закупки и скидок. CFO-исключение необходимо для C.</x:v>
      </x:c>
    </x:row>
    <x:row r="48" ht="40" customHeight="1">
      <x:c r="B48" s="128" t="s">
        <x:v>82</x:v>
      </x:c>
      <x:c r="C48" s="129"/>
      <x:c r="D48" s="129"/>
      <x:c r="E48" s="150" t="n">
        <x:f>SUM(E43:E47)</x:f>
        <x:v>325000</x:v>
      </x:c>
      <x:c r="F48" s="150" t="n">
        <x:f>SUM(F43:F47)</x:f>
        <x:v>115750</x:v>
      </x:c>
      <x:c r="G48" s="150" t="n">
        <x:f>SUM(G43:G47)</x:f>
        <x:v>179287.5</x:v>
      </x:c>
      <x:c r="H48" s="150" t="n">
        <x:f>SUM(H43:H47)</x:f>
        <x:v>176426.875</x:v>
      </x:c>
      <x:c r="I48" s="150" t="n">
        <x:f>SUM(I43:I47)</x:f>
        <x:v>198225.71875000003</x:v>
      </x:c>
      <x:c r="J48" s="150" t="n">
        <x:f>SUM(J43:J47)</x:f>
        <x:v>994690.09375</x:v>
      </x:c>
      <x:c r="K48" s="131" t="n">
        <x:f>IFERROR(J48/$J$51,0)</x:f>
        <x:v>0.0220965245268038</x:v>
      </x:c>
      <x:c r="L48" s="129"/>
    </x:row>
    <x:row r="49" ht="40" customHeight="1">
      <x:c r="B49" s="120"/>
      <x:c r="C49" s="132"/>
      <x:c r="D49" s="120"/>
      <x:c r="E49" s="151"/>
      <x:c r="F49" s="151"/>
      <x:c r="G49" s="151"/>
      <x:c r="H49" s="151"/>
      <x:c r="I49" s="151"/>
      <x:c r="J49" s="151"/>
      <x:c r="K49" s="159"/>
      <x:c r="L49" s="120"/>
    </x:row>
    <x:row r="50" ht="40" customHeight="1">
      <x:c r="B50" s="133" t="s">
        <x:v>105</x:v>
      </x:c>
      <x:c r="C50" s="132"/>
      <x:c r="D50" s="120"/>
      <x:c r="E50" s="154" t="n">
        <x:f>(E15+E24+E32+E40+E48)*'Допущения'!$C$17</x:f>
        <x:v>219160</x:v>
      </x:c>
      <x:c r="F50" s="154" t="n">
        <x:f>(F15+F24+F32+F40+F48)*'Допущения'!$C$17</x:f>
        <x:v>350768</x:v>
      </x:c>
      <x:c r="G50" s="154" t="n">
        <x:f>(G15+G24+G32+G40+G48)*'Допущения'!$C$17</x:f>
        <x:v>645431.4</x:v>
      </x:c>
      <x:c r="H50" s="154" t="n">
        <x:f>(H15+H24+H32+H40+H48)*'Допущения'!$C$17</x:f>
        <x:v>1121150.4700000002</x:v>
      </x:c>
      <x:c r="I50" s="154" t="n">
        <x:f>(I15+I24+I32+I40+I48)*'Допущения'!$C$17</x:f>
        <x:v>1755824.7435000003</x:v>
      </x:c>
      <x:c r="J50" s="149" t="n">
        <x:f>SUM(E50:I50)</x:f>
        <x:v>4092334.6135000004</x:v>
      </x:c>
      <x:c r="K50" s="159"/>
      <x:c r="L50" s="121" t="s">
        <x:v>106</x:v>
      </x:c>
    </x:row>
    <x:row r="51" ht="40" customHeight="1">
      <x:c r="B51" s="128" t="s">
        <x:v>107</x:v>
      </x:c>
      <x:c r="C51" s="132"/>
      <x:c r="D51" s="120"/>
      <x:c r="E51" s="150" t="n">
        <x:f>E15+E24+E32+E40+E48+E50</x:f>
        <x:v>2410760</x:v>
      </x:c>
      <x:c r="F51" s="150" t="n">
        <x:f>F15+F24+F32+F40+F48+F50</x:f>
        <x:v>3858448</x:v>
      </x:c>
      <x:c r="G51" s="150" t="n">
        <x:f>G15+G24+G32+G40+G48+G50</x:f>
        <x:v>7099745.4</x:v>
      </x:c>
      <x:c r="H51" s="150" t="n">
        <x:f>H15+H24+H32+H40+H48+H50</x:f>
        <x:v>12332655.170000002</x:v>
      </x:c>
      <x:c r="I51" s="150" t="n">
        <x:f>I15+I24+I32+I40+I48+I50</x:f>
        <x:v>19314072.178500004</x:v>
      </x:c>
      <x:c r="J51" s="150" t="n">
        <x:f>SUM(E51:I51)</x:f>
        <x:v>45015680.748500004</x:v>
      </x:c>
      <x:c r="K51" s="159"/>
      <x:c r="L51" s="120"/>
    </x:row>
    <x:row r="52" ht="40" customHeight="1">
      <x:c r="B52" s="122" t="s">
        <x:v>108</x:v>
      </x:c>
      <x:c r="C52" s="123"/>
      <x:c r="D52" s="123"/>
      <x:c r="E52" s="152"/>
      <x:c r="F52" s="152"/>
      <x:c r="G52" s="152"/>
      <x:c r="H52" s="152"/>
      <x:c r="I52" s="152"/>
      <x:c r="J52" s="152"/>
      <x:c r="K52" s="160"/>
      <x:c r="L52" s="123"/>
    </x:row>
    <x:row r="53" ht="40" customHeight="1">
      <x:c r="B53" s="124" t="str">
        <x:v>Условная экспозиция простоя (не ожидаемый ущерб)</x:v>
      </x:c>
      <x:c r="C53" s="120"/>
      <x:c r="D53" s="120"/>
      <x:c r="E53" s="154" t="n">
        <x:f>(1-'Допущения'!$C$20)*525600*'Допущения'!$C$19*'Допущения'!$C$21</x:f>
        <x:v>0</x:v>
      </x:c>
      <x:c r="F53" s="154" t="n">
        <x:f>(1-'Допущения'!$C$20)*525600*'Допущения'!$C$19*'Допущения'!$C$21</x:f>
        <x:v>0</x:v>
      </x:c>
      <x:c r="G53" s="154" t="n">
        <x:f>(1-'Допущения'!$C$20)*525600*'Допущения'!$C$19*'Допущения'!$C$21</x:f>
        <x:v>0</x:v>
      </x:c>
      <x:c r="H53" s="154" t="n">
        <x:f>(1-'Допущения'!$C$20)*525600*'Допущения'!$C$19*'Допущения'!$C$21</x:f>
        <x:v>0</x:v>
      </x:c>
      <x:c r="I53" s="154" t="n">
        <x:f>(1-'Допущения'!$C$20)*525600*'Допущения'!$C$19*'Допущения'!$C$21</x:f>
        <x:v>0</x:v>
      </x:c>
      <x:c r="J53" s="149" t="n">
        <x:f>SUM(E53:I53)</x:f>
        <x:v>0</x:v>
      </x:c>
      <x:c r="K53" s="159"/>
      <x:c r="L53" s="110" t="str">
        <x:v>При переключателе 1: (1−SLO) × 525600 × $12000, без вероятности. В базе 0; не сертификат надёжности.</x:v>
      </x:c>
    </x:row>
    <x:row r="54" ht="40" customHeight="1">
      <x:c r="B54" s="128" t="s">
        <x:v>109</x:v>
      </x:c>
      <x:c r="C54" s="120"/>
      <x:c r="D54" s="120"/>
      <x:c r="E54" s="150" t="n">
        <x:f>E51+E53</x:f>
        <x:v>2410760</x:v>
      </x:c>
      <x:c r="F54" s="150" t="n">
        <x:f>F51+F53</x:f>
        <x:v>3858448</x:v>
      </x:c>
      <x:c r="G54" s="150" t="n">
        <x:f>G51+G53</x:f>
        <x:v>7099745.4</x:v>
      </x:c>
      <x:c r="H54" s="150" t="n">
        <x:f>H51+H53</x:f>
        <x:v>12332655.170000002</x:v>
      </x:c>
      <x:c r="I54" s="150" t="n">
        <x:f>I51+I53</x:f>
        <x:v>19314072.178500004</x:v>
      </x:c>
      <x:c r="J54" s="150" t="n">
        <x:f>SUM(E54:I54)</x:f>
        <x:v>45015680.748500004</x:v>
      </x:c>
      <x:c r="K54" s="159"/>
      <x:c r="L54" s="120"/>
    </x:row>
    <x:row r="55" ht="40" customHeight="1">
      <x:c r="B55" s="124" t="s">
        <x:v>110</x:v>
      </x:c>
      <x:c r="C55" s="120"/>
      <x:c r="D55" s="120"/>
      <x:c r="E55" s="135" t="n">
        <x:f>1/(1+'Допущения'!$C$16)^0</x:f>
        <x:v>1</x:v>
      </x:c>
      <x:c r="F55" s="135" t="n">
        <x:f>1/(1+'Допущения'!$C$16)^1</x:f>
        <x:v>0.8333333333333334</x:v>
      </x:c>
      <x:c r="G55" s="135" t="n">
        <x:f>1/(1+'Допущения'!$C$16)^2</x:f>
        <x:v>0.6944444444444444</x:v>
      </x:c>
      <x:c r="H55" s="135" t="n">
        <x:f>1/(1+'Допущения'!$C$16)^3</x:f>
        <x:v>0.5787037037037038</x:v>
      </x:c>
      <x:c r="I55" s="135" t="n">
        <x:f>1/(1+'Допущения'!$C$16)^4</x:f>
        <x:v>0.4822530864197531</x:v>
      </x:c>
      <x:c r="J55" s="151"/>
      <x:c r="K55" s="159"/>
      <x:c r="L55" s="120"/>
    </x:row>
    <x:row r="56" ht="40" customHeight="1">
      <x:c r="B56" s="128" t="s">
        <x:v>111</x:v>
      </x:c>
      <x:c r="C56" s="120"/>
      <x:c r="D56" s="120"/>
      <x:c r="E56" s="150" t="n">
        <x:f>E54*E55</x:f>
        <x:v>2410760</x:v>
      </x:c>
      <x:c r="F56" s="150" t="n">
        <x:f>F54*F55</x:f>
        <x:v>3215373.3333333335</x:v>
      </x:c>
      <x:c r="G56" s="150" t="n">
        <x:f>G54*G55</x:f>
        <x:v>4930378.75</x:v>
      </x:c>
      <x:c r="H56" s="150" t="n">
        <x:f>H54*H55</x:f>
        <x:v>7136953.223379632</x:v>
      </x:c>
      <x:c r="I56" s="150" t="n">
        <x:f>I54*I55</x:f>
        <x:v>9314270.919415511</x:v>
      </x:c>
      <x:c r="J56" s="150" t="n">
        <x:f>SUM(E56:I56)</x:f>
        <x:v>27007736.226128478</x:v>
      </x:c>
      <x:c r="K56" s="159"/>
      <x:c r="L56" s="120"/>
    </x:row>
    <x:row r="57" ht="40" customHeight="1">
      <x:c r="B57" s="120"/>
      <x:c r="C57" s="120"/>
      <x:c r="D57" s="120"/>
      <x:c r="E57" s="151"/>
      <x:c r="F57" s="151"/>
      <x:c r="G57" s="151"/>
      <x:c r="H57" s="151"/>
      <x:c r="I57" s="151"/>
      <x:c r="J57" s="151"/>
      <x:c r="K57" s="159"/>
      <x:c r="L57" s="120"/>
    </x:row>
    <x:row r="58" ht="40" customHeight="1">
      <x:c r="B58" s="122" t="s">
        <x:v>112</x:v>
      </x:c>
      <x:c r="C58" s="123"/>
      <x:c r="D58" s="123"/>
      <x:c r="E58" s="152"/>
      <x:c r="F58" s="152"/>
      <x:c r="G58" s="152"/>
      <x:c r="H58" s="152"/>
      <x:c r="I58" s="152"/>
      <x:c r="J58" s="152"/>
      <x:c r="K58" s="160"/>
      <x:c r="L58" s="123"/>
    </x:row>
    <x:row r="59" ht="40" customHeight="1">
      <x:c r="B59" s="133" t="s">
        <x:v>113</x:v>
      </x:c>
      <x:c r="C59" s="120"/>
      <x:c r="D59" s="120"/>
      <x:c r="E59" s="155" t="n">
        <x:f>J51</x:f>
        <x:v>45015680.748500004</x:v>
      </x:c>
      <x:c r="F59" s="156"/>
      <x:c r="G59" s="151"/>
      <x:c r="H59" s="151"/>
      <x:c r="I59" s="151"/>
      <x:c r="J59" s="151"/>
      <x:c r="K59" s="159"/>
      <x:c r="L59" s="110" t="s">
        <x:v>114</x:v>
      </x:c>
    </x:row>
    <x:row r="60" ht="40" customHeight="1">
      <x:c r="B60" s="133" t="s">
        <x:v>115</x:v>
      </x:c>
      <x:c r="C60" s="120"/>
      <x:c r="D60" s="120"/>
      <x:c r="E60" s="155" t="n">
        <x:f>J54</x:f>
        <x:v>45015680.748500004</x:v>
      </x:c>
      <x:c r="F60" s="156"/>
      <x:c r="G60" s="151"/>
      <x:c r="H60" s="151"/>
      <x:c r="I60" s="151"/>
      <x:c r="J60" s="151"/>
      <x:c r="K60" s="159"/>
      <x:c r="L60" s="110" t="s">
        <x:v>116</x:v>
      </x:c>
    </x:row>
    <x:row r="61" ht="40" customHeight="1">
      <x:c r="B61" s="133" t="s">
        <x:v>117</x:v>
      </x:c>
      <x:c r="C61" s="120"/>
      <x:c r="D61" s="120"/>
      <x:c r="E61" s="155" t="n">
        <x:f>J56</x:f>
        <x:v>27007736.226128478</x:v>
      </x:c>
      <x:c r="F61" s="156"/>
      <x:c r="G61" s="151"/>
      <x:c r="H61" s="151"/>
      <x:c r="I61" s="151"/>
      <x:c r="J61" s="151"/>
      <x:c r="K61" s="159"/>
      <x:c r="L61" s="110" t="str">
        <x:v>Шаблон: расходы в НАЧАЛЕ года. Корректный NPV при оплате в конце года — на «Контроль», строка 9.</x:v>
      </x:c>
    </x:row>
    <x:row r="62" ht="40" customHeight="1">
      <x:c r="B62" s="133" t="s">
        <x:v>118</x:v>
      </x:c>
      <x:c r="C62" s="120"/>
      <x:c r="D62" s="120"/>
      <x:c r="E62" s="155" t="n">
        <x:f>J51/5</x:f>
        <x:v>9003136.1497</x:v>
      </x:c>
      <x:c r="F62" s="156"/>
      <x:c r="G62" s="151"/>
      <x:c r="H62" s="151"/>
      <x:c r="I62" s="151"/>
      <x:c r="J62" s="151"/>
      <x:c r="K62" s="159"/>
      <x:c r="L62" s="110" t="s">
        <x:v>119</x:v>
      </x:c>
    </x:row>
    <x:row r="63" ht="40" customHeight="1">
      <x:c r="B63" s="133" t="s">
        <x:v>120</x:v>
      </x:c>
      <x:c r="C63" s="120"/>
      <x:c r="D63" s="120"/>
      <x:c r="E63" s="155" t="n">
        <x:f>E15/12</x:f>
        <x:v>13750</x:v>
      </x:c>
      <x:c r="F63" s="156"/>
      <x:c r="G63" s="151"/>
      <x:c r="H63" s="151"/>
      <x:c r="I63" s="151"/>
      <x:c r="J63" s="151"/>
      <x:c r="K63" s="159"/>
      <x:c r="L63" s="110" t="str">
        <x:v>Годовое среднее только инфраструктуры; НЕ месячный лимит первых 6 мес и НЕ все SaaS/SMS. См. «Контроль» строки 13–15.</x:v>
      </x:c>
    </x:row>
    <x:row r="64" ht="40" customHeight="1">
      <x:c r="B64" s="133" t="s">
        <x:v>121</x:v>
      </x:c>
      <x:c r="C64" s="120"/>
      <x:c r="D64" s="120"/>
      <x:c r="E64" s="155" t="str">
        <x:f>IF(E15/12&lt;='Допущения'!$C$18,"В бюджете CFO","ПРЕВЫШЕНИЕ бюджета")</x:f>
        <x:v>ПРЕВЫШЕНИЕ бюджета</x:v>
      </x:c>
      <x:c r="F64" s="156"/>
      <x:c r="G64" s="151"/>
      <x:c r="H64" s="151"/>
      <x:c r="I64" s="151"/>
      <x:c r="J64" s="151"/>
      <x:c r="K64" s="159"/>
      <x:c r="L64" s="110" t="str">
        <x:v>Унаследованная проверка среднего облака; решение CFO принимается по «Контроль», строки 13–15.</x:v>
      </x:c>
    </x:row>
    <x:row r="65" ht="40" customHeight="1">
      <x:c r="B65" s="133" t="s">
        <x:v>122</x:v>
      </x:c>
      <x:c r="C65" s="120"/>
      <x:c r="D65" s="120"/>
      <x:c r="E65" s="157" t="n">
        <x:f>IFERROR(J51/SUM('Допущения'!$C$8:$G$8),0)</x:f>
        <x:v>1.0899680568644068</x:v>
      </x:c>
      <x:c r="F65" s="156"/>
      <x:c r="G65" s="151"/>
      <x:c r="H65" s="151"/>
      <x:c r="I65" s="151"/>
      <x:c r="J65" s="151"/>
      <x:c r="K65" s="159"/>
      <x:c r="L65" s="110" t="str">
        <x:v>С резервом и PSP; все заказы 41,3М, тот же 5-летний период. См. месяц запуска/12 в «Контроль».</x:v>
      </x:c>
    </x:row>
    <x:row r="66" ht="40" customHeight="1">
      <x:c r="B66" s="133" t="s">
        <x:v>123</x:v>
      </x:c>
      <x:c r="C66" s="120"/>
      <x:c r="D66" s="120"/>
      <x:c r="E66" s="157" t="n">
        <x:f>IFERROR(I51/'Допущения'!$G$7,0)</x:f>
        <x:v>1.9314072178500004</x:v>
      </x:c>
      <x:c r="F66" s="156"/>
      <x:c r="G66" s="151"/>
      <x:c r="H66" s="151"/>
      <x:c r="I66" s="151"/>
      <x:c r="J66" s="151"/>
      <x:c r="K66" s="159"/>
      <x:c r="L66" s="110" t="s">
        <x:v>124</x:v>
      </x:c>
    </x:row>
    <x:row r="67" ht="40" customHeight="1">
      <x:c r="B67" s="133" t="s">
        <x:v>125</x:v>
      </x:c>
      <x:c r="C67" s="120"/>
      <x:c r="D67" s="120"/>
      <x:c r="E67" s="141" t="n">
        <x:f>IFERROR(J51/SUM('Допущения'!$C$10:$G$10),0)</x:f>
        <x:v>0.04359872227457628</x:v>
      </x:c>
      <x:c r="F67" s="156"/>
      <x:c r="G67" s="151"/>
      <x:c r="H67" s="151"/>
      <x:c r="I67" s="151"/>
      <x:c r="J67" s="151"/>
      <x:c r="K67" s="159"/>
      <x:c r="L67" s="110" t="s">
        <x:v>126</x:v>
      </x:c>
    </x:row>
    <x:row r="68" ht="40" customHeight="1">
      <x:c r="B68" s="133" t="s">
        <x:v>127</x:v>
      </x:c>
      <x:c r="C68" s="120"/>
      <x:c r="D68" s="120"/>
      <x:c r="E68" s="141" t="n">
        <x:f>IFERROR(J15/J51,0)</x:f>
        <x:v>0.020253590328751837</x:v>
      </x:c>
      <x:c r="F68" s="156"/>
      <x:c r="G68" s="151"/>
      <x:c r="H68" s="151"/>
      <x:c r="I68" s="151"/>
      <x:c r="J68" s="151"/>
      <x:c r="K68" s="159"/>
      <x:c r="L68" s="110" t="s">
        <x:v>128</x:v>
      </x:c>
    </x:row>
    <x:row r="69" ht="40" customHeight="1">
      <x:c r="B69" s="133" t="s">
        <x:v>129</x:v>
      </x:c>
      <x:c r="C69" s="120"/>
      <x:c r="D69" s="120"/>
      <x:c r="E69" s="141" t="n">
        <x:f>IFERROR(J32/J51,0)</x:f>
        <x:v>0.6423679543813974</x:v>
      </x:c>
      <x:c r="F69" s="156"/>
      <x:c r="G69" s="151"/>
      <x:c r="H69" s="151"/>
      <x:c r="I69" s="151"/>
      <x:c r="J69" s="151"/>
      <x:c r="K69" s="159"/>
      <x:c r="L69" s="110" t="s">
        <x:v>130</x:v>
      </x:c>
    </x:row>
    <x:row r="70" ht="40" customHeight="1">
      <x:c r="B70" s="133" t="s">
        <x:v>131</x:v>
      </x:c>
      <x:c r="C70" s="120"/>
      <x:c r="D70" s="120"/>
      <x:c r="E70" s="141" t="n">
        <x:f>IFERROR(J40/J51,0)</x:f>
        <x:v>0.21695879830330983</x:v>
      </x:c>
      <x:c r="F70" s="156"/>
      <x:c r="G70" s="151"/>
      <x:c r="H70" s="151"/>
      <x:c r="I70" s="151"/>
      <x:c r="J70" s="151"/>
      <x:c r="K70" s="159"/>
      <x:c r="L70" s="110" t="s">
        <x:v>132</x:v>
      </x:c>
    </x:row>
    <x:row r="71" ht="40" customHeight="1">
      <x:c r="B71" s="120"/>
      <x:c r="C71" s="120"/>
      <x:c r="D71" s="120"/>
      <x:c r="E71" s="120"/>
      <x:c r="F71" s="120"/>
      <x:c r="G71" s="120"/>
      <x:c r="H71" s="120"/>
      <x:c r="I71" s="120"/>
      <x:c r="J71" s="120"/>
      <x:c r="K71" s="120"/>
      <x:c r="L71" s="120"/>
    </x:row>
    <x:row r="72" ht="40" customHeight="1">
      <x:c r="B72" s="119" t="s">
        <x:v>133</x:v>
      </x:c>
      <x:c r="C72" s="120"/>
      <x:c r="D72" s="120"/>
      <x:c r="E72" s="120"/>
      <x:c r="F72" s="120"/>
      <x:c r="G72" s="120"/>
      <x:c r="H72" s="120"/>
      <x:c r="I72" s="120"/>
      <x:c r="J72" s="120"/>
      <x:c r="K72" s="120"/>
      <x:c r="L72" s="120"/>
    </x:row>
    <x:row r="73" ht="40" customHeight="1">
      <x:c r="B73" s="93" t="str">
        <x:v>C: резерв 10М, 40 сервисов/3 кластера/Oracle; ниже риски единичного релиза, выше ФОТ/лицензии. Нужны исключения бюджета и найма; SLO ещё не доказан.</x:v>
      </x:c>
      <x:c r="C73" s="142"/>
      <x:c r="D73" s="142"/>
      <x:c r="E73" s="142"/>
      <x:c r="F73" s="142"/>
      <x:c r="G73" s="142"/>
      <x:c r="H73" s="142"/>
      <x:c r="I73" s="142"/>
      <x:c r="J73" s="142"/>
      <x:c r="K73" s="142"/>
      <x:c r="L73" s="143"/>
    </x:row>
    <x:row r="74">
      <x:c r="B74" s="120"/>
      <x:c r="C74" s="120"/>
      <x:c r="D74" s="120"/>
      <x:c r="E74" s="120"/>
      <x:c r="F74" s="120"/>
      <x:c r="G74" s="120"/>
      <x:c r="H74" s="120"/>
      <x:c r="I74" s="120"/>
      <x:c r="J74" s="120"/>
      <x:c r="K74" s="120"/>
      <x:c r="L74" s="120"/>
    </x:row>
    <x:row r="75">
      <x:c r="B75" s="120"/>
      <x:c r="C75" s="120"/>
      <x:c r="D75" s="120"/>
      <x:c r="E75" s="120"/>
      <x:c r="F75" s="120"/>
      <x:c r="G75" s="120"/>
      <x:c r="H75" s="120"/>
      <x:c r="I75" s="120"/>
      <x:c r="J75" s="120"/>
      <x:c r="K75" s="120"/>
      <x:c r="L75" s="120"/>
    </x:row>
    <x:row r="76">
      <x:c r="B76" s="120"/>
      <x:c r="C76" s="120"/>
      <x:c r="D76" s="120"/>
      <x:c r="E76" s="120"/>
      <x:c r="F76" s="120"/>
      <x:c r="G76" s="120"/>
      <x:c r="H76" s="120"/>
      <x:c r="I76" s="120"/>
      <x:c r="J76" s="120"/>
      <x:c r="K76" s="120"/>
      <x:c r="L76" s="120"/>
    </x:row>
    <x:row r="77">
      <x:c r="B77" s="120"/>
      <x:c r="C77" s="120"/>
      <x:c r="D77" s="120"/>
      <x:c r="E77" s="120"/>
      <x:c r="F77" s="120"/>
      <x:c r="G77" s="120"/>
      <x:c r="H77" s="120"/>
      <x:c r="I77" s="120"/>
      <x:c r="J77" s="120"/>
      <x:c r="K77" s="120"/>
      <x:c r="L77" s="120"/>
    </x:row>
    <x:row r="78">
      <x:c r="B78" s="120"/>
      <x:c r="C78" s="120"/>
      <x:c r="D78" s="120"/>
      <x:c r="E78" s="120"/>
      <x:c r="F78" s="120"/>
      <x:c r="G78" s="120"/>
      <x:c r="H78" s="120"/>
      <x:c r="I78" s="120"/>
      <x:c r="J78" s="120"/>
      <x:c r="K78" s="120"/>
      <x:c r="L78" s="120"/>
    </x:row>
    <x:row r="79">
      <x:c r="B79" s="120"/>
      <x:c r="C79" s="120"/>
      <x:c r="D79" s="120"/>
      <x:c r="E79" s="120"/>
      <x:c r="F79" s="120"/>
      <x:c r="G79" s="120"/>
      <x:c r="H79" s="120"/>
      <x:c r="I79" s="120"/>
      <x:c r="J79" s="120"/>
      <x:c r="K79" s="120"/>
      <x:c r="L79" s="120"/>
    </x:row>
    <x:row r="80">
      <x:c r="B80" s="120"/>
      <x:c r="C80" s="120"/>
      <x:c r="D80" s="120"/>
      <x:c r="E80" s="120"/>
      <x:c r="F80" s="120"/>
      <x:c r="G80" s="120"/>
      <x:c r="H80" s="120"/>
      <x:c r="I80" s="120"/>
      <x:c r="J80" s="120"/>
      <x:c r="K80" s="120"/>
      <x:c r="L80" s="120"/>
    </x:row>
    <x:row r="81">
      <x:c r="B81" s="120"/>
      <x:c r="C81" s="120"/>
      <x:c r="D81" s="120"/>
      <x:c r="E81" s="120"/>
      <x:c r="F81" s="120"/>
      <x:c r="G81" s="120"/>
      <x:c r="H81" s="120"/>
      <x:c r="I81" s="120"/>
      <x:c r="J81" s="120"/>
      <x:c r="K81" s="120"/>
      <x:c r="L81" s="120"/>
    </x:row>
    <x:row r="82">
      <x:c r="B82" s="120"/>
      <x:c r="C82" s="120"/>
      <x:c r="D82" s="120"/>
      <x:c r="E82" s="120"/>
      <x:c r="F82" s="120"/>
      <x:c r="G82" s="120"/>
      <x:c r="H82" s="120"/>
      <x:c r="I82" s="120"/>
      <x:c r="J82" s="120"/>
      <x:c r="K82" s="120"/>
      <x:c r="L82" s="120"/>
    </x:row>
    <x:row r="83">
      <x:c r="B83" s="120"/>
      <x:c r="C83" s="120"/>
      <x:c r="D83" s="120"/>
      <x:c r="E83" s="120"/>
      <x:c r="F83" s="120"/>
      <x:c r="G83" s="120"/>
      <x:c r="H83" s="120"/>
      <x:c r="I83" s="120"/>
      <x:c r="J83" s="120"/>
      <x:c r="K83" s="120"/>
      <x:c r="L83" s="12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2" max="2" width="58" hidden="0" customWidth="1"/>
    <x:col min="3" max="3" width="24" hidden="0" customWidth="1"/>
    <x:col min="4" max="4" width="24" hidden="0" customWidth="1"/>
    <x:col min="5" max="5" width="24" hidden="0" customWidth="1"/>
    <x:col min="6" max="6" width="19" hidden="0" customWidth="1"/>
    <x:col min="7" max="7" width="19" hidden="0" customWidth="1"/>
    <x:col min="8" max="8" width="19" hidden="0" customWidth="1"/>
  </x:cols>
  <x:sheetData>
    <x:row r="2" ht="36" customHeight="1">
      <x:c r="B2" s="180" t="str">
        <x:v>Africa Delivery — решения для CFO | USD | пять лет от начала разработки</x:v>
      </x:c>
      <x:c r="C2" s="180"/>
      <x:c r="D2" s="180"/>
      <x:c r="E2" s="180"/>
      <x:c r="F2" s="180"/>
      <x:c r="G2" s="180"/>
      <x:c r="H2" s="180"/>
    </x:row>
    <x:row r="3" ht="35" customHeight="1">
      <x:c r="B3" s="55" t="str">
        <x:v>Плановые оценки, не коммерческие предложения. Шаблон сохранён; годы TCO автоматически зависят от его шести драйверов.</x:v>
      </x:c>
      <x:c r="C3" s="55"/>
      <x:c r="D3" s="55"/>
      <x:c r="E3" s="55"/>
      <x:c r="F3" s="55"/>
      <x:c r="G3" s="55"/>
      <x:c r="H3" s="55"/>
    </x:row>
    <x:row r="4" ht="35" customHeight="1">
      <x:c r="B4" s="55"/>
      <x:c r="C4" s="55"/>
      <x:c r="D4" s="55"/>
      <x:c r="E4" s="55"/>
      <x:c r="F4" s="55"/>
      <x:c r="G4" s="55"/>
      <x:c r="H4" s="55"/>
    </x:row>
    <x:row r="5" ht="36" customHeight="1">
      <x:c r="B5" s="180" t="str">
        <x:v>Показатель</x:v>
      </x:c>
      <x:c r="C5" s="180" t="str">
        <x:v>A — монолит</x:v>
      </x:c>
      <x:c r="D5" s="180" t="str">
        <x:v>B — 6 сервисов</x:v>
      </x:c>
      <x:c r="E5" s="180" t="str">
        <x:v>C — CTO</x:v>
      </x:c>
      <x:c r="F5" s="180"/>
      <x:c r="G5" s="180"/>
      <x:c r="H5" s="180"/>
    </x:row>
    <x:row r="6" ht="35" customHeight="1">
      <x:c r="B6" s="55" t="str">
        <x:v>Полный TCO 5 лет, с резервом 10%</x:v>
      </x:c>
      <x:c r="C6" s="181" t="n">
        <x:f>'TCO'!E59</x:f>
        <x:v>38242741.05850001</x:v>
      </x:c>
      <x:c r="D6" s="174" t="n">
        <x:f>'B-SOA'!E59</x:f>
        <x:v>39762552.676</x:v>
      </x:c>
      <x:c r="E6" s="174" t="n">
        <x:f>'C-CTO'!E59</x:f>
        <x:v>45015680.748500004</x:v>
      </x:c>
      <x:c r="F6" s="55"/>
      <x:c r="G6" s="55"/>
      <x:c r="H6" s="55"/>
    </x:row>
    <x:row r="7" ht="35" customHeight="1">
      <x:c r="B7" s="55" t="str">
        <x:v>TCO 5 лет без PSP, с резервом</x:v>
      </x:c>
      <x:c r="C7" s="181" t="n">
        <x:f>'TCO'!J51-'TCO'!J27*(1+'Допущения'!C17)</x:f>
        <x:v>13256241.058500003</x:v>
      </x:c>
      <x:c r="D7" s="174" t="n">
        <x:f>'B-SOA'!J51-'B-SOA'!J27*(1+'Допущения'!C17)</x:f>
        <x:v>14776052.675999995</x:v>
      </x:c>
      <x:c r="E7" s="174" t="n">
        <x:f>'C-CTO'!J51-'C-CTO'!J27*(1+'Допущения'!C17)</x:f>
        <x:v>20029180.7485</x:v>
      </x:c>
      <x:c r="F7" s="55"/>
      <x:c r="G7" s="55"/>
      <x:c r="H7" s="55"/>
    </x:row>
    <x:row r="8" ht="35" customHeight="1">
      <x:c r="B8" s="55" t="str">
        <x:v>TCO 5 лет без резерва</x:v>
      </x:c>
      <x:c r="C8" s="181" t="n">
        <x:f>'TCO'!J51/(1+'Допущения'!C17)</x:f>
        <x:v>34766128.23500001</x:v>
      </x:c>
      <x:c r="D8" s="174" t="n">
        <x:f>'B-SOA'!J51/(1+'Допущения'!C17)</x:f>
        <x:v>36147775.16</x:v>
      </x:c>
      <x:c r="E8" s="174" t="n">
        <x:f>'C-CTO'!J51/(1+'Допущения'!C17)</x:f>
        <x:v>40923346.135</x:v>
      </x:c>
      <x:c r="F8" s="55"/>
      <x:c r="G8" s="55"/>
      <x:c r="H8" s="55"/>
    </x:row>
    <x:row r="9" ht="35" customHeight="1">
      <x:c r="B9" s="55" t="str">
        <x:v>NPV затрат (конец каждого года)</x:v>
      </x:c>
      <x:c r="C9" s="181" t="n">
        <x:f>SUM('TCO'!E51/(1+'Допущения'!C16)^1,'TCO'!F51/(1+'Допущения'!C16)^2,'TCO'!G51/(1+'Допущения'!C16)^3,'TCO'!H51/(1+'Допущения'!C16)^4,'TCO'!I51/(1+'Допущения'!C16)^5)</x:f>
        <x:v>18586475.3843959</x:v>
      </x:c>
      <x:c r="D9" s="174" t="n">
        <x:f>SUM('B-SOA'!E51/(1+'Допущения'!C16)^1,'B-SOA'!F51/(1+'Допущения'!C16)^2,'B-SOA'!G51/(1+'Допущения'!C16)^3,'B-SOA'!H51/(1+'Допущения'!C16)^4,'B-SOA'!I51/(1+'Допущения'!C16)^5)</x:f>
        <x:v>19396982.142168213</x:v>
      </x:c>
      <x:c r="E9" s="174" t="n">
        <x:f>SUM('C-CTO'!E51/(1+'Допущения'!C16)^1,'C-CTO'!F51/(1+'Допущения'!C16)^2,'C-CTO'!G51/(1+'Допущения'!C16)^3,'C-CTO'!H51/(1+'Допущения'!C16)^4,'C-CTO'!I51/(1+'Допущения'!C16)^5)</x:f>
        <x:v>22506446.85510707</x:v>
      </x:c>
      <x:c r="F9" s="55"/>
      <x:c r="G9" s="55"/>
      <x:c r="H9" s="55"/>
    </x:row>
    <x:row r="10" ht="35" customHeight="1">
      <x:c r="B10" s="55" t="str">
        <x:v>Стоимость заказа, 5 лет, всё включено</x:v>
      </x:c>
      <x:c r="C10" s="182" t="n">
        <x:f>'TCO'!E65</x:f>
        <x:v>0.925974359769976</x:v>
      </x:c>
      <x:c r="D10" s="175" t="n">
        <x:f>'B-SOA'!E65</x:f>
        <x:v>0.9627736725423729</x:v>
      </x:c>
      <x:c r="E10" s="175" t="n">
        <x:f>'C-CTO'!E65</x:f>
        <x:v>1.0899680568644068</x:v>
      </x:c>
      <x:c r="F10" s="55"/>
      <x:c r="G10" s="55"/>
      <x:c r="H10" s="55"/>
    </x:row>
    <x:row r="11" ht="35" customHeight="1">
      <x:c r="B11" s="55" t="str">
        <x:v>Стоимость заказа на запуске, run rate</x:v>
      </x:c>
      <x:c r="C11" s="182" t="n">
        <x:f>((C44*$C$25+C46)+$C$27*($C$30*$C$31+$C$32*$C$33+$C$34+'Допущения'!C9*$C$29))*(1+'Допущения'!C17)/$C$27</x:f>
        <x:v>19.2775</x:v>
      </x:c>
      <x:c r="D11" s="175" t="n">
        <x:f>((C72*$C$25+C74)+$C$27*($C$30*$C$31+$C$32*$C$33+$C$34+'Допущения'!C9*$C$29))*(1+'Допущения'!C17)/$C$27</x:f>
        <x:v>25.217500000000005</x:v>
      </x:c>
      <x:c r="E11" s="175" t="n">
        <x:f>((C100*$C$25+C102)+$C$27*($C$30*$C$31+$C$32*$C$33+$C$34+'Допущения'!C9*$C$29))*(1+'Допущения'!C17)/$C$27</x:f>
        <x:v>60.655833333333334</x:v>
      </x:c>
      <x:c r="F11" s="55"/>
      <x:c r="G11" s="55"/>
      <x:c r="H11" s="55"/>
    </x:row>
    <x:row r="12" ht="35" customHeight="1">
      <x:c r="B12" s="55" t="str">
        <x:v>Стоимость заказа в месяце 12, run rate</x:v>
      </x:c>
      <x:c r="C12" s="182" t="n">
        <x:f>((C44*$C$25+C47)+$C$28*($C$30*$C$31+$C$32*$C$33+$C$34+'Допущения'!C9*$C$29))*(1+'Допущения'!C17)/$C$28</x:f>
        <x:v>1.123451776649746</x:v>
      </x:c>
      <x:c r="D12" s="175" t="n">
        <x:f>((C72*$C$25+C75)+$C$28*($C$30*$C$31+$C$32*$C$33+$C$34+'Допущения'!C9*$C$29))*(1+'Допущения'!C17)/$C$28</x:f>
        <x:v>1.21872461928934</x:v>
      </x:c>
      <x:c r="E12" s="175" t="n">
        <x:f>((C100*$C$25+C103)+$C$28*($C$30*$C$31+$C$32*$C$33+$C$34+'Допущения'!C9*$C$29))*(1+'Допущения'!C17)/$C$28</x:f>
        <x:v>1.6819670050761422</x:v>
      </x:c>
      <x:c r="F12" s="55"/>
      <x:c r="G12" s="55"/>
      <x:c r="H12" s="55"/>
    </x:row>
    <x:row r="13" ht="35" customHeight="1">
      <x:c r="B13" s="55" t="str">
        <x:v>Первые 6 мес: максимум техники / мес</x:v>
      </x:c>
      <x:c r="C13" s="181" t="n">
        <x:f>C46+$C$27*($C$30*$C$31+$C$32*$C$33+$C$34)</x:f>
        <x:v>3950</x:v>
      </x:c>
      <x:c r="D13" s="174" t="n">
        <x:f>C74+$C$27*($C$30*$C$31+$C$32*$C$33+$C$34)</x:f>
        <x:v>4750</x:v>
      </x:c>
      <x:c r="E13" s="174" t="n">
        <x:f>C102+$C$27*($C$30*$C$31+$C$32*$C$33+$C$34)</x:f>
        <x:v>19183.333333333332</x:v>
      </x:c>
      <x:c r="F13" s="55"/>
      <x:c r="G13" s="55"/>
      <x:c r="H13" s="55"/>
    </x:row>
    <x:row r="14" ht="35" customHeight="1">
      <x:c r="B14" s="55" t="str">
        <x:v>Остаток до лимита CFO / мес</x:v>
      </x:c>
      <x:c r="C14" s="181" t="n">
        <x:f>$C$39-C13</x:f>
        <x:v>1050</x:v>
      </x:c>
      <x:c r="D14" s="174" t="n">
        <x:f>$C$39-D13</x:f>
        <x:v>250</x:v>
      </x:c>
      <x:c r="E14" s="174" t="n">
        <x:f>$C$39-E13</x:f>
        <x:v>-14183.333333333332</x:v>
      </x:c>
      <x:c r="F14" s="55"/>
      <x:c r="G14" s="55"/>
      <x:c r="H14" s="55"/>
    </x:row>
    <x:row r="15" ht="35" customHeight="1">
      <x:c r="B15" s="55" t="str">
        <x:v>Проверка реального лимита $5000</x:v>
      </x:c>
      <x:c r="C15" s="181" t="str">
        <x:f>IF(C13&lt;=$C$39,"В лимите","ПРЕВЫШЕНИЕ")</x:f>
        <x:v>В лимите</x:v>
      </x:c>
      <x:c r="D15" s="174" t="str">
        <x:f>IF(D13&lt;=$C$39,"В лимите","ПРЕВЫШЕНИЕ")</x:f>
        <x:v>В лимите</x:v>
      </x:c>
      <x:c r="E15" s="174" t="str">
        <x:f>IF(E13&lt;=$C$39,"В лимите","ПРЕВЫШЕНИЕ")</x:f>
        <x:v>ПРЕВЫШЕНИЕ</x:v>
      </x:c>
      <x:c r="F15" s="55"/>
      <x:c r="G15" s="55"/>
      <x:c r="H15" s="55"/>
    </x:row>
    <x:row r="16" ht="35" customHeight="1">
      <x:c r="B16" s="55" t="str">
        <x:v>Штат запуска, FTE</x:v>
      </x:c>
      <x:c r="C16" s="183" t="n">
        <x:f>C44</x:f>
        <x:v>6</x:v>
      </x:c>
      <x:c r="D16" s="176" t="n">
        <x:f>C72</x:f>
        <x:v>8</x:v>
      </x:c>
      <x:c r="E16" s="176" t="n">
        <x:f>C100</x:f>
        <x:v>18</x:v>
      </x:c>
      <x:c r="F16" s="55"/>
      <x:c r="G16" s="55"/>
      <x:c r="H16" s="55"/>
    </x:row>
    <x:row r="17" ht="35" customHeight="1">
      <x:c r="B17" s="55" t="str">
        <x:v>Оценка разработки, недель</x:v>
      </x:c>
      <x:c r="C17" s="183" t="n">
        <x:v>8</x:v>
      </x:c>
      <x:c r="D17" s="176" t="n">
        <x:v>12</x:v>
      </x:c>
      <x:c r="E17" s="176" t="n">
        <x:v>24</x:v>
      </x:c>
      <x:c r="F17" s="55"/>
      <x:c r="G17" s="55"/>
      <x:c r="H17" s="55"/>
    </x:row>
    <x:row r="18" ht="35" customHeight="1">
      <x:c r="B18" s="55" t="str">
        <x:v>Стоимость ошибки при 50К вместо 10М</x:v>
      </x:c>
      <x:c r="C18" s="181" t="n">
        <x:f>C58</x:f>
        <x:v>26550</x:v>
      </x:c>
      <x:c r="D18" s="174" t="n">
        <x:f>C86</x:f>
        <x:v>63150</x:v>
      </x:c>
      <x:c r="E18" s="174" t="n">
        <x:f>C114</x:f>
        <x:v>548425</x:v>
      </x:c>
      <x:c r="F18" s="55"/>
      <x:c r="G18" s="55"/>
      <x:c r="H18" s="55"/>
    </x:row>
    <x:row r="19" ht="35" customHeight="1">
      <x:c r="B19" s="55" t="str">
        <x:v>Стоимость выделения сервисов, Год 3</x:v>
      </x:c>
      <x:c r="C19" s="181" t="n">
        <x:f>'TCO'!G45</x:f>
        <x:v>120000</x:v>
      </x:c>
      <x:c r="D19" s="174" t="n">
        <x:f>'B-SOA'!G45</x:f>
        <x:v>40000</x:v>
      </x:c>
      <x:c r="E19" s="174" t="n">
        <x:f>'C-CTO'!G45</x:f>
        <x:v>20000</x:v>
      </x:c>
      <x:c r="F19" s="55"/>
      <x:c r="G19" s="55"/>
      <x:c r="H19" s="55"/>
    </x:row>
    <x:row r="20" ht="35" customHeight="1">
      <x:c r="B20" s="55" t="str">
        <x:v>Год 5: эквивалентный штат при +8% ставок</x:v>
      </x:c>
      <x:c r="C20" s="184" t="n">
        <x:f>C44*(1+'Допущения'!C15)^4/(1+$C$26)^4</x:f>
        <x:v>12.595912575431703</x:v>
      </x:c>
      <x:c r="D20" s="177" t="n">
        <x:f>C72*(1+'Допущения'!C15)^4/(1+$C$26)^4</x:f>
        <x:v>16.794550100575606</x:v>
      </x:c>
      <x:c r="E20" s="177" t="n">
        <x:f>C100*(1+'Допущения'!C15)^4/(1+$C$26)^4</x:f>
        <x:v>37.78773772629511</x:v>
      </x:c>
      <x:c r="F20" s="55"/>
      <x:c r="G20" s="55"/>
      <x:c r="H20" s="55"/>
    </x:row>
    <x:row r="21" ht="35" customHeight="1">
      <x:c r="B21" s="55" t="str">
        <x:v>Подготовка запуска: труд+техника+разовые</x:v>
      </x:c>
      <x:c r="C21" s="181" t="n">
        <x:f>C59</x:f>
        <x:v>130300</x:v>
      </x:c>
      <x:c r="D21" s="174" t="n">
        <x:f>C87</x:f>
        <x:v>209350</x:v>
      </x:c>
      <x:c r="E21" s="174" t="n">
        <x:f>C115</x:f>
        <x:v>978300</x:v>
      </x:c>
      <x:c r="F21" s="55"/>
      <x:c r="G21" s="55"/>
      <x:c r="H21" s="55"/>
    </x:row>
    <x:row r="22" ht="35" customHeight="1">
      <x:c r="B22" s="55" t="str">
        <x:v>Год 1: полная цена заказа, с разовыми</x:v>
      </x:c>
      <x:c r="C22" s="175" t="n">
        <x:f>'TCO'!E51/'Допущения'!C8</x:f>
        <x:v>1.4823875</x:v>
      </x:c>
      <x:c r="D22" s="175" t="n">
        <x:f>'B-SOA'!E51/'Допущения'!C8</x:f>
        <x:v>1.68320625</x:v>
      </x:c>
      <x:c r="E22" s="175" t="n">
        <x:f>'C-CTO'!E51/'Допущения'!C8</x:f>
        <x:v>3.01345</x:v>
      </x:c>
      <x:c r="F22" s="55"/>
      <x:c r="G22" s="55"/>
      <x:c r="H22" s="55"/>
    </x:row>
    <x:row r="23" ht="35" customHeight="1">
      <x:c r="B23" s="55"/>
      <x:c r="C23" s="55"/>
      <x:c r="D23" s="55"/>
      <x:c r="E23" s="55"/>
      <x:c r="F23" s="55"/>
      <x:c r="G23" s="55"/>
      <x:c r="H23" s="55"/>
    </x:row>
    <x:row r="24" ht="36" customHeight="1">
      <x:c r="B24" s="180" t="str">
        <x:v>Assumptions — ввод и источники</x:v>
      </x:c>
      <x:c r="C24" s="180"/>
      <x:c r="D24" s="180"/>
      <x:c r="E24" s="180"/>
      <x:c r="F24" s="180"/>
      <x:c r="G24" s="180"/>
      <x:c r="H24" s="180"/>
    </x:row>
    <x:row r="25" ht="48" customHeight="1">
      <x:c r="B25" s="55" t="str">
        <x:v>Ставка FTE / месяц, fully loaded</x:v>
      </x:c>
      <x:c r="C25" s="173" t="n">
        <x:v>5000</x:v>
      </x:c>
      <x:c r="D25" s="55" t="str">
        <x:v>SA-04: $5000 all-in. Это база месячного контроля; для нового годового сценария также изменить D35:D38 в каждой копии TCO.</x:v>
      </x:c>
      <x:c r="E25" s="55"/>
      <x:c r="F25" s="55"/>
      <x:c r="G25" s="55"/>
      <x:c r="H25" s="55"/>
    </x:row>
    <x:row r="26" ht="48" customHeight="1">
      <x:c r="B26" s="55" t="str">
        <x:v>Ставки растут / год</x:v>
      </x:c>
      <x:c r="C26" s="169" t="n">
        <x:v>0.08</x:v>
      </x:c>
      <x:c r="D26" s="55" t="str">
        <x:v>SA-04; общий рост ФОТ 30% указан на листе «Допущения».</x:v>
      </x:c>
      <x:c r="E26" s="55"/>
      <x:c r="F26" s="55"/>
      <x:c r="G26" s="55"/>
      <x:c r="H26" s="55"/>
    </x:row>
    <x:row r="27" ht="48" customHeight="1">
      <x:c r="B27" s="55" t="str">
        <x:v>Заказы / месяц первые 6 месяцев</x:v>
      </x:c>
      <x:c r="C27" s="178" t="n">
        <x:v>2000</x:v>
      </x:c>
      <x:c r="D27" s="55" t="str">
        <x:v>SA-02: ограниченный пилот, не рекламное обещание 1М в первый месяц (A2 с.2).</x:v>
      </x:c>
      <x:c r="E27" s="55"/>
      <x:c r="F27" s="55"/>
      <x:c r="G27" s="55"/>
      <x:c r="H27" s="55"/>
    </x:row>
    <x:row r="28" ht="48" customHeight="1">
      <x:c r="B28" s="55" t="str">
        <x:v>Заказы / месяц к концу года 1</x:v>
      </x:c>
      <x:c r="C28" s="178" t="n">
        <x:f>('Допущения'!C8-6*C27)/6</x:f>
        <x:v>131333.33333333334</x:v>
      </x:c>
      <x:c r="D28" s="55" t="str">
        <x:v>(800000 − 6 × 2000) / 6; согласовать с CEO перед расходами Года 1.</x:v>
      </x:c>
      <x:c r="E28" s="55"/>
      <x:c r="F28" s="55"/>
      <x:c r="G28" s="55"/>
      <x:c r="H28" s="55"/>
    </x:row>
    <x:row r="29" ht="48" customHeight="1">
      <x:c r="B29" s="55" t="str">
        <x:v>PSP / GMV all-in</x:v>
      </x:c>
      <x:c r="C29" s="169" t="n">
        <x:v>0.022</x:v>
      </x:c>
      <x:c r="D29" s="55" t="str">
        <x:v>SA-05: договорная цель, не оферта. A6 с.1 &lt;2,5%. Kenya Flutterwave публично 2,9% без налогов; нужны прямой M-Pesa/переговоры.</x:v>
      </x:c>
      <x:c r="E29" s="55"/>
      <x:c r="F29" s="55"/>
      <x:c r="G29" s="55"/>
      <x:c r="H29" s="55"/>
    </x:row>
    <x:row r="30" ht="48" customHeight="1">
      <x:c r="B30" s="55" t="str">
        <x:v>SMS / заказ</x:v>
      </x:c>
      <x:c r="C30" s="168" t="n">
        <x:v>2</x:v>
      </x:c>
      <x:c r="D30" s="55" t="str">
        <x:v>SA-06: подтверждение и готовность к выдаче.</x:v>
      </x:c>
      <x:c r="E30" s="55"/>
      <x:c r="F30" s="55"/>
      <x:c r="G30" s="55"/>
      <x:c r="H30" s="55"/>
    </x:row>
    <x:row r="31" ht="48" customHeight="1">
      <x:c r="B31" s="55" t="str">
        <x:v>Цена SMS</x:v>
      </x:c>
      <x:c r="C31" s="170" t="n">
        <x:v>0.04</x:v>
      </x:c>
      <x:c r="D31" s="55" t="str">
        <x:v>SA-06: оценка, тарифа шлюза нет; чувствительность ±25%.</x:v>
      </x:c>
      <x:c r="E31" s="55"/>
      <x:c r="F31" s="55"/>
      <x:c r="G31" s="55"/>
      <x:c r="H31" s="55"/>
    </x:row>
    <x:row r="32" ht="48" customHeight="1">
      <x:c r="B32" s="55" t="str">
        <x:v>WhatsApp шаблонов / заказ</x:v>
      </x:c>
      <x:c r="C32" s="168" t="n">
        <x:v>0.5</x:v>
      </x:c>
      <x:c r="D32" s="55" t="str">
        <x:v>SA-06: усреднение сообщений покупателям/продавцам.</x:v>
      </x:c>
      <x:c r="E32" s="55"/>
      <x:c r="F32" s="55"/>
      <x:c r="G32" s="55"/>
      <x:c r="H32" s="55"/>
    </x:row>
    <x:row r="33" ht="48" customHeight="1">
      <x:c r="B33" s="55" t="str">
        <x:v>Цена WhatsApp сообщения</x:v>
      </x:c>
      <x:c r="C33" s="170" t="n">
        <x:v>0.04</x:v>
      </x:c>
      <x:c r="D33" s="55" t="str">
        <x:v>SA-06: плановая ставка за сообщение, не старый тариф за диалог; BSP/Meta quote требуется.</x:v>
      </x:c>
      <x:c r="E33" s="55"/>
      <x:c r="F33" s="55"/>
      <x:c r="G33" s="55"/>
      <x:c r="H33" s="55"/>
    </x:row>
    <x:row r="34" ht="48" customHeight="1">
      <x:c r="B34" s="55" t="str">
        <x:v>API логистики / заказ</x:v>
      </x:c>
      <x:c r="C34" s="170" t="n">
        <x:v>0.05</x:v>
      </x:c>
      <x:c r="D34" s="55" t="str">
        <x:v>SA-07: только API/support; физическая доставка, склад, ПВЗ и товар НЕ входят в IT TCO.</x:v>
      </x:c>
      <x:c r="E34" s="55"/>
      <x:c r="F34" s="55"/>
      <x:c r="G34" s="55"/>
      <x:c r="H34" s="55"/>
    </x:row>
    <x:row r="35" ht="48" customHeight="1">
      <x:c r="B35" s="55" t="str">
        <x:v>USD за Processor Oracle EE</x:v>
      </x:c>
      <x:c r="C35" s="173" t="n">
        <x:v>47500</x:v>
      </x:c>
      <x:c r="D35" s="55" t="str">
        <x:v>Публичный Oracle Price List 15.09.2026, с.2; не скидка/оферта, метрика Processor не vCPU.</x:v>
      </x:c>
      <x:c r="E35" s="55"/>
      <x:c r="F35" s="55"/>
      <x:c r="G35" s="55"/>
      <x:c r="H35" s="55"/>
    </x:row>
    <x:row r="36" ht="48" customHeight="1">
      <x:c r="B36" s="55" t="str">
        <x:v>Поддержка Oracle / Processor / год</x:v>
      </x:c>
      <x:c r="C36" s="173" t="n">
        <x:v>10450</x:v>
      </x:c>
      <x:c r="D36" s="55" t="str">
        <x:v>Тот же прайс, с.2. RAC/Active Data Guard не включены: C — нижняя оценка.</x:v>
      </x:c>
      <x:c r="E36" s="55"/>
      <x:c r="F36" s="55"/>
      <x:c r="G36" s="55"/>
      <x:c r="H36" s="55"/>
    </x:row>
    <x:row r="37" ht="48" customHeight="1">
      <x:c r="B37" s="55" t="str">
        <x:v>Месяцев до сокращения излишков</x:v>
      </x:c>
      <x:c r="C37" s="178" t="n">
        <x:v>3</x:v>
      </x:c>
      <x:c r="D37" s="55" t="str">
        <x:v>SA-08: после оценки спроса, квартальная корректировка без годовых предоплат (A6 с.1).</x:v>
      </x:c>
      <x:c r="E37" s="55"/>
      <x:c r="F37" s="55"/>
      <x:c r="G37" s="55"/>
      <x:c r="H37" s="55"/>
    </x:row>
    <x:row r="38" ht="48" customHeight="1">
      <x:c r="B38" s="55" t="str">
        <x:v>Размер спроса downside, пользователей</x:v>
      </x:c>
      <x:c r="C38" s="178" t="n">
        <x:v>50000</x:v>
      </x:c>
      <x:c r="D38" s="55" t="str">
        <x:v>A6 с.2; базу низкого спроса оцениваем отдельно, не умножаем расходы на 1/200.</x:v>
      </x:c>
      <x:c r="E38" s="55"/>
      <x:c r="F38" s="55"/>
      <x:c r="G38" s="55"/>
      <x:c r="H38" s="55"/>
    </x:row>
    <x:row r="39" ht="48" customHeight="1">
      <x:c r="B39" s="55" t="str">
        <x:v>Ограничение расходов CFO / месяц</x:v>
      </x:c>
      <x:c r="C39" s="173" t="n">
        <x:v>5000</x:v>
      </x:c>
      <x:c r="D39" s="55" t="str">
        <x:v>A6 с.1; &gt;$500 по одной позиции требует письменного CFO до закупки, 45 дней по счёту.</x:v>
      </x:c>
      <x:c r="E39" s="55"/>
      <x:c r="F39" s="55"/>
      <x:c r="G39" s="55"/>
      <x:c r="H39" s="55"/>
    </x:row>
    <x:row r="40" ht="35" customHeight="1">
      <x:c r="B40" s="55"/>
      <x:c r="C40" s="55"/>
      <x:c r="D40" s="55"/>
      <x:c r="E40" s="55"/>
      <x:c r="F40" s="55"/>
      <x:c r="G40" s="55"/>
      <x:c r="H40" s="55"/>
    </x:row>
    <x:row r="41" ht="35" customHeight="1">
      <x:c r="B41" s="55"/>
      <x:c r="C41" s="55"/>
      <x:c r="D41" s="55"/>
      <x:c r="E41" s="55"/>
      <x:c r="F41" s="55"/>
      <x:c r="G41" s="55"/>
      <x:c r="H41" s="55"/>
    </x:row>
    <x:row r="42" ht="35" customHeight="1">
      <x:c r="B42" s="55"/>
      <x:c r="C42" s="55"/>
      <x:c r="D42" s="55"/>
      <x:c r="E42" s="55"/>
      <x:c r="F42" s="55"/>
      <x:c r="G42" s="55"/>
      <x:c r="H42" s="55"/>
    </x:row>
    <x:row r="43" ht="36" customHeight="1">
      <x:c r="B43" s="180" t="str">
        <x:v>A. Модульный монолит — запуск, стоимость ошибки и обратимость</x:v>
      </x:c>
      <x:c r="C43" s="180"/>
      <x:c r="D43" s="180"/>
      <x:c r="E43" s="180"/>
      <x:c r="F43" s="180"/>
      <x:c r="G43" s="180"/>
      <x:c r="H43" s="180"/>
    </x:row>
    <x:row r="44" ht="35" customHeight="1">
      <x:c r="B44" s="55" t="str">
        <x:v>FTE запуска</x:v>
      </x:c>
      <x:c r="C44" s="171" t="n">
        <x:v>6</x:v>
      </x:c>
      <x:c r="D44" s="172" t="str">
        <x:v>SA-08/09: ошибки оценены относительно достаточной системы для 50К. Излишек техники и персонала сохраняется 3 месяца. Труд ядра считается повторно используемым за исключением 15%/25%/50%; это спорное допущение, а не оценка качества кода. Лицензия Oracle остаточных 2 Processor нужна и не списывается как ошибка. Годовая предоплата C — отвергнутая альтернатива A6. Никакого коэффициента расходов ×200.</x:v>
      </x:c>
      <x:c r="E44" s="172"/>
      <x:c r="F44" s="172"/>
      <x:c r="G44" s="172"/>
      <x:c r="H44" s="172"/>
    </x:row>
    <x:row r="45" ht="35" customHeight="1">
      <x:c r="B45" s="55" t="str">
        <x:v>Длительность сборки / мес</x:v>
      </x:c>
      <x:c r="C45" s="171" t="n">
        <x:v>2</x:v>
      </x:c>
      <x:c r="D45" s="172"/>
      <x:c r="E45" s="172"/>
      <x:c r="F45" s="172"/>
      <x:c r="G45" s="172"/>
      <x:c r="H45" s="172"/>
    </x:row>
    <x:row r="46" ht="35" customHeight="1">
      <x:c r="B46" s="55" t="str">
        <x:v>Техника постоянная / мес, первые 6</x:v>
      </x:c>
      <x:c r="C46" s="173" t="n">
        <x:v>3650</x:v>
      </x:c>
      <x:c r="D46" s="172"/>
      <x:c r="E46" s="172"/>
      <x:c r="F46" s="172"/>
      <x:c r="G46" s="172"/>
      <x:c r="H46" s="172"/>
    </x:row>
    <x:row r="47" ht="35" customHeight="1">
      <x:c r="B47" s="55" t="str">
        <x:v>Техника постоянная / мес, месяц 12</x:v>
      </x:c>
      <x:c r="C47" s="173" t="n">
        <x:v>12200</x:v>
      </x:c>
      <x:c r="D47" s="172"/>
      <x:c r="E47" s="172"/>
      <x:c r="F47" s="172"/>
      <x:c r="G47" s="172"/>
      <x:c r="H47" s="172"/>
    </x:row>
    <x:row r="48" ht="35" customHeight="1">
      <x:c r="B48" s="55" t="str">
        <x:v>Невозвратная доля труда сборки</x:v>
      </x:c>
      <x:c r="C48" s="169" t="n">
        <x:v>0.15</x:v>
      </x:c>
      <x:c r="D48" s="172"/>
      <x:c r="E48" s="172"/>
      <x:c r="F48" s="172"/>
      <x:c r="G48" s="172"/>
      <x:c r="H48" s="172"/>
    </x:row>
    <x:row r="49" ht="35" customHeight="1">
      <x:c r="B49" s="55" t="str">
        <x:v>FTE при спросе 50К</x:v>
      </x:c>
      <x:c r="C49" s="171" t="n">
        <x:v>5</x:v>
      </x:c>
      <x:c r="D49" s="172"/>
      <x:c r="E49" s="172"/>
      <x:c r="F49" s="172"/>
      <x:c r="G49" s="172"/>
      <x:c r="H49" s="172"/>
    </x:row>
    <x:row r="50" ht="35" customHeight="1">
      <x:c r="B50" s="55" t="str">
        <x:v>Техника при 50К / мес без Oracle support</x:v>
      </x:c>
      <x:c r="C50" s="173" t="n">
        <x:v>2800</x:v>
      </x:c>
      <x:c r="D50" s="172"/>
      <x:c r="E50" s="172"/>
      <x:c r="F50" s="172"/>
      <x:c r="G50" s="172"/>
      <x:c r="H50" s="172"/>
    </x:row>
    <x:row r="51" ht="35" customHeight="1">
      <x:c r="B51" s="55" t="str">
        <x:v>Processor Oracle на старте</x:v>
      </x:c>
      <x:c r="C51" s="171" t="n">
        <x:v>0</x:v>
      </x:c>
      <x:c r="D51" s="172"/>
      <x:c r="E51" s="172"/>
      <x:c r="F51" s="172"/>
      <x:c r="G51" s="172"/>
      <x:c r="H51" s="172"/>
    </x:row>
    <x:row r="52" ht="35" customHeight="1">
      <x:c r="B52" s="55" t="str">
        <x:v>Processor Oracle достаточно при 50К</x:v>
      </x:c>
      <x:c r="C52" s="171" t="n">
        <x:v>0</x:v>
      </x:c>
      <x:c r="D52" s="172"/>
      <x:c r="E52" s="172"/>
      <x:c r="F52" s="172"/>
      <x:c r="G52" s="172"/>
      <x:c r="H52" s="172"/>
    </x:row>
    <x:row r="53" ht="35" customHeight="1">
      <x:c r="B53" s="55" t="str">
        <x:v>Стоимость труда сборки</x:v>
      </x:c>
      <x:c r="C53" s="174" t="n">
        <x:f>C44*C45*$C$25</x:f>
        <x:v>60000</x:v>
      </x:c>
      <x:c r="D53" s="172"/>
      <x:c r="E53" s="172"/>
      <x:c r="F53" s="172"/>
      <x:c r="G53" s="172"/>
      <x:c r="H53" s="172"/>
    </x:row>
    <x:row r="54" ht="35" customHeight="1">
      <x:c r="B54" s="55" t="str">
        <x:v>Невозвратная архитектурная сложность</x:v>
      </x:c>
      <x:c r="C54" s="174" t="n">
        <x:f>C53*C48</x:f>
        <x:v>9000</x:v>
      </x:c>
      <x:c r="D54" s="172"/>
      <x:c r="E54" s="172"/>
      <x:c r="F54" s="172"/>
      <x:c r="G54" s="172"/>
      <x:c r="H54" s="172"/>
    </x:row>
    <x:row r="55" ht="35" customHeight="1">
      <x:c r="B55" s="55" t="str">
        <x:v>Излишек техники за 3 месяца</x:v>
      </x:c>
      <x:c r="C55" s="174" t="n">
        <x:f>MAX(0,C46-C50-C52*$C$36/12)*$C$37</x:f>
        <x:v>2550</x:v>
      </x:c>
      <x:c r="D55" s="172"/>
      <x:c r="E55" s="172"/>
      <x:c r="F55" s="172"/>
      <x:c r="G55" s="172"/>
      <x:c r="H55" s="172"/>
    </x:row>
    <x:row r="56" ht="35" customHeight="1">
      <x:c r="B56" s="55" t="str">
        <x:v>Излишек ФОТ за 3 месяца</x:v>
      </x:c>
      <x:c r="C56" s="174" t="n">
        <x:f>MAX(0,C44-C49)*$C$25*$C$37</x:f>
        <x:v>15000</x:v>
      </x:c>
      <x:c r="D56" s="172"/>
      <x:c r="E56" s="172"/>
      <x:c r="F56" s="172"/>
      <x:c r="G56" s="172"/>
      <x:c r="H56" s="172"/>
    </x:row>
    <x:row r="57" ht="35" customHeight="1">
      <x:c r="B57" s="55" t="str">
        <x:v>Невозвратные избыточные лицензии</x:v>
      </x:c>
      <x:c r="C57" s="174" t="n">
        <x:f>MAX(0,C51-C52)*$C$35</x:f>
        <x:v>0</x:v>
      </x:c>
      <x:c r="D57" s="172"/>
      <x:c r="E57" s="172"/>
      <x:c r="F57" s="172"/>
      <x:c r="G57" s="172"/>
      <x:c r="H57" s="172"/>
    </x:row>
    <x:row r="58" ht="35" customHeight="1">
      <x:c r="B58" s="55" t="str">
        <x:v>ИТОГО стоимость ошибки</x:v>
      </x:c>
      <x:c r="C58" s="174" t="n">
        <x:f>SUM(C54:C57)</x:f>
        <x:v>26550</x:v>
      </x:c>
      <x:c r="D58" s="172"/>
      <x:c r="E58" s="172"/>
      <x:c r="F58" s="172"/>
      <x:c r="G58" s="172"/>
      <x:c r="H58" s="172"/>
    </x:row>
    <x:row r="59" ht="35" customHeight="1">
      <x:c r="B59" s="55" t="str">
        <x:v>Запуск IT: ФОТ + техника + разовые</x:v>
      </x:c>
      <x:c r="C59" s="174" t="n">
        <x:f>C53+C46*C45+'TCO'!E43+'TCO'!E44+'TCO'!E45+'TCO'!E46+'TCO'!E47</x:f>
        <x:v>130300</x:v>
      </x:c>
      <x:c r="D59" s="172"/>
      <x:c r="E59" s="172"/>
      <x:c r="F59" s="172"/>
      <x:c r="G59" s="172"/>
      <x:c r="H59" s="172"/>
    </x:row>
    <x:row r="60" ht="35" customHeight="1">
      <x:c r="B60" s="55"/>
      <x:c r="C60" s="55"/>
      <x:c r="D60" s="55"/>
      <x:c r="E60" s="55"/>
      <x:c r="F60" s="55"/>
      <x:c r="G60" s="55"/>
      <x:c r="H60" s="55"/>
    </x:row>
    <x:row r="61" ht="35" customHeight="1">
      <x:c r="B61" s="55"/>
      <x:c r="C61" s="55"/>
      <x:c r="D61" s="55"/>
      <x:c r="E61" s="55"/>
      <x:c r="F61" s="55"/>
      <x:c r="G61" s="55"/>
      <x:c r="H61" s="55"/>
    </x:row>
    <x:row r="62" ht="35" customHeight="1">
      <x:c r="B62" s="55"/>
      <x:c r="C62" s="55"/>
      <x:c r="D62" s="55"/>
      <x:c r="E62" s="55"/>
      <x:c r="F62" s="55"/>
      <x:c r="G62" s="55"/>
      <x:c r="H62" s="55"/>
    </x:row>
    <x:row r="63" ht="35" customHeight="1">
      <x:c r="B63" s="55"/>
      <x:c r="C63" s="55"/>
      <x:c r="D63" s="55"/>
      <x:c r="E63" s="55"/>
      <x:c r="F63" s="55"/>
      <x:c r="G63" s="55"/>
      <x:c r="H63" s="55"/>
    </x:row>
    <x:row r="64" ht="35" customHeight="1">
      <x:c r="B64" s="55"/>
      <x:c r="C64" s="55"/>
      <x:c r="D64" s="55"/>
      <x:c r="E64" s="55"/>
      <x:c r="F64" s="55"/>
      <x:c r="G64" s="55"/>
      <x:c r="H64" s="55"/>
    </x:row>
    <x:row r="65" ht="35" customHeight="1">
      <x:c r="B65" s="55"/>
      <x:c r="C65" s="55"/>
      <x:c r="D65" s="55"/>
      <x:c r="E65" s="55"/>
      <x:c r="F65" s="55"/>
      <x:c r="G65" s="55"/>
      <x:c r="H65" s="55"/>
    </x:row>
    <x:row r="66" ht="35" customHeight="1">
      <x:c r="B66" s="55"/>
      <x:c r="C66" s="55"/>
      <x:c r="D66" s="55"/>
      <x:c r="E66" s="55"/>
      <x:c r="F66" s="55"/>
      <x:c r="G66" s="55"/>
      <x:c r="H66" s="55"/>
    </x:row>
    <x:row r="67" ht="35" customHeight="1">
      <x:c r="B67" s="55"/>
      <x:c r="C67" s="55"/>
      <x:c r="D67" s="55"/>
      <x:c r="E67" s="55"/>
      <x:c r="F67" s="55"/>
      <x:c r="G67" s="55"/>
      <x:c r="H67" s="55"/>
    </x:row>
    <x:row r="68" ht="35" customHeight="1">
      <x:c r="B68" s="55"/>
      <x:c r="C68" s="55"/>
      <x:c r="D68" s="55"/>
      <x:c r="E68" s="55"/>
      <x:c r="F68" s="55"/>
      <x:c r="G68" s="55"/>
      <x:c r="H68" s="55"/>
    </x:row>
    <x:row r="69" ht="35" customHeight="1">
      <x:c r="B69" s="55"/>
      <x:c r="C69" s="55"/>
      <x:c r="D69" s="55"/>
      <x:c r="E69" s="55"/>
      <x:c r="F69" s="55"/>
      <x:c r="G69" s="55"/>
      <x:c r="H69" s="55"/>
    </x:row>
    <x:row r="70" ht="35" customHeight="1">
      <x:c r="B70" s="55"/>
      <x:c r="C70" s="55"/>
      <x:c r="D70" s="55"/>
      <x:c r="E70" s="55"/>
      <x:c r="F70" s="55"/>
      <x:c r="G70" s="55"/>
      <x:c r="H70" s="55"/>
    </x:row>
    <x:row r="71" ht="36" customHeight="1">
      <x:c r="B71" s="180" t="str">
        <x:v>B. Шесть крупных сервисов — запуск, стоимость ошибки и обратимость</x:v>
      </x:c>
      <x:c r="C71" s="180"/>
      <x:c r="D71" s="180"/>
      <x:c r="E71" s="180"/>
      <x:c r="F71" s="180"/>
      <x:c r="G71" s="180"/>
      <x:c r="H71" s="180"/>
    </x:row>
    <x:row r="72" ht="35" customHeight="1">
      <x:c r="B72" s="55" t="str">
        <x:v>FTE запуска</x:v>
      </x:c>
      <x:c r="C72" s="171" t="n">
        <x:v>8</x:v>
      </x:c>
      <x:c r="D72" s="172" t="str">
        <x:v>SA-08/09: ошибки оценены относительно достаточной системы для 50К. Излишек техники и персонала сохраняется 3 месяца. Труд ядра считается повторно используемым за исключением 15%/25%/50%; это спорное допущение, а не оценка качества кода. Лицензия Oracle остаточных 2 Processor нужна и не списывается как ошибка. Годовая предоплата C — отвергнутая альтернатива A6. Никакого коэффициента расходов ×200.</x:v>
      </x:c>
      <x:c r="E72" s="172"/>
      <x:c r="F72" s="172"/>
      <x:c r="G72" s="172"/>
      <x:c r="H72" s="172"/>
    </x:row>
    <x:row r="73" ht="35" customHeight="1">
      <x:c r="B73" s="55" t="str">
        <x:v>Длительность сборки / мес</x:v>
      </x:c>
      <x:c r="C73" s="171" t="n">
        <x:v>3</x:v>
      </x:c>
      <x:c r="D73" s="172"/>
      <x:c r="E73" s="172"/>
      <x:c r="F73" s="172"/>
      <x:c r="G73" s="172"/>
      <x:c r="H73" s="172"/>
    </x:row>
    <x:row r="74" ht="35" customHeight="1">
      <x:c r="B74" s="55" t="str">
        <x:v>Техника постоянная / мес, первые 6</x:v>
      </x:c>
      <x:c r="C74" s="173" t="n">
        <x:v>4450</x:v>
      </x:c>
      <x:c r="D74" s="172"/>
      <x:c r="E74" s="172"/>
      <x:c r="F74" s="172"/>
      <x:c r="G74" s="172"/>
      <x:c r="H74" s="172"/>
    </x:row>
    <x:row r="75" ht="35" customHeight="1">
      <x:c r="B75" s="55" t="str">
        <x:v>Техника постоянная / мес, месяц 12</x:v>
      </x:c>
      <x:c r="C75" s="173" t="n">
        <x:v>13575</x:v>
      </x:c>
      <x:c r="D75" s="172"/>
      <x:c r="E75" s="172"/>
      <x:c r="F75" s="172"/>
      <x:c r="G75" s="172"/>
      <x:c r="H75" s="172"/>
    </x:row>
    <x:row r="76" ht="35" customHeight="1">
      <x:c r="B76" s="55" t="str">
        <x:v>Невозвратная доля труда сборки</x:v>
      </x:c>
      <x:c r="C76" s="169" t="n">
        <x:v>0.25</x:v>
      </x:c>
      <x:c r="D76" s="172"/>
      <x:c r="E76" s="172"/>
      <x:c r="F76" s="172"/>
      <x:c r="G76" s="172"/>
      <x:c r="H76" s="172"/>
    </x:row>
    <x:row r="77" ht="35" customHeight="1">
      <x:c r="B77" s="55" t="str">
        <x:v>FTE при спросе 50К</x:v>
      </x:c>
      <x:c r="C77" s="171" t="n">
        <x:v>6</x:v>
      </x:c>
      <x:c r="D77" s="172"/>
      <x:c r="E77" s="172"/>
      <x:c r="F77" s="172"/>
      <x:c r="G77" s="172"/>
      <x:c r="H77" s="172"/>
    </x:row>
    <x:row r="78" ht="35" customHeight="1">
      <x:c r="B78" s="55" t="str">
        <x:v>Техника при 50К / мес без Oracle support</x:v>
      </x:c>
      <x:c r="C78" s="173" t="n">
        <x:v>3400</x:v>
      </x:c>
      <x:c r="D78" s="172"/>
      <x:c r="E78" s="172"/>
      <x:c r="F78" s="172"/>
      <x:c r="G78" s="172"/>
      <x:c r="H78" s="172"/>
    </x:row>
    <x:row r="79" ht="35" customHeight="1">
      <x:c r="B79" s="55" t="str">
        <x:v>Processor Oracle на старте</x:v>
      </x:c>
      <x:c r="C79" s="171" t="n">
        <x:v>0</x:v>
      </x:c>
      <x:c r="D79" s="172"/>
      <x:c r="E79" s="172"/>
      <x:c r="F79" s="172"/>
      <x:c r="G79" s="172"/>
      <x:c r="H79" s="172"/>
    </x:row>
    <x:row r="80" ht="35" customHeight="1">
      <x:c r="B80" s="55" t="str">
        <x:v>Processor Oracle достаточно при 50К</x:v>
      </x:c>
      <x:c r="C80" s="171" t="n">
        <x:v>0</x:v>
      </x:c>
      <x:c r="D80" s="172"/>
      <x:c r="E80" s="172"/>
      <x:c r="F80" s="172"/>
      <x:c r="G80" s="172"/>
      <x:c r="H80" s="172"/>
    </x:row>
    <x:row r="81" ht="35" customHeight="1">
      <x:c r="B81" s="55" t="str">
        <x:v>Стоимость труда сборки</x:v>
      </x:c>
      <x:c r="C81" s="174" t="n">
        <x:f>C72*C73*$C$25</x:f>
        <x:v>120000</x:v>
      </x:c>
      <x:c r="D81" s="172"/>
      <x:c r="E81" s="172"/>
      <x:c r="F81" s="172"/>
      <x:c r="G81" s="172"/>
      <x:c r="H81" s="172"/>
    </x:row>
    <x:row r="82" ht="35" customHeight="1">
      <x:c r="B82" s="55" t="str">
        <x:v>Невозвратная архитектурная сложность</x:v>
      </x:c>
      <x:c r="C82" s="174" t="n">
        <x:f>C81*C76</x:f>
        <x:v>30000</x:v>
      </x:c>
      <x:c r="D82" s="172"/>
      <x:c r="E82" s="172"/>
      <x:c r="F82" s="172"/>
      <x:c r="G82" s="172"/>
      <x:c r="H82" s="172"/>
    </x:row>
    <x:row r="83" ht="35" customHeight="1">
      <x:c r="B83" s="55" t="str">
        <x:v>Излишек техники за 3 месяца</x:v>
      </x:c>
      <x:c r="C83" s="174" t="n">
        <x:f>MAX(0,C74-C78-C80*$C$36/12)*$C$37</x:f>
        <x:v>3150</x:v>
      </x:c>
      <x:c r="D83" s="172"/>
      <x:c r="E83" s="172"/>
      <x:c r="F83" s="172"/>
      <x:c r="G83" s="172"/>
      <x:c r="H83" s="172"/>
    </x:row>
    <x:row r="84" ht="35" customHeight="1">
      <x:c r="B84" s="55" t="str">
        <x:v>Излишек ФОТ за 3 месяца</x:v>
      </x:c>
      <x:c r="C84" s="174" t="n">
        <x:f>MAX(0,C72-C77)*$C$25*$C$37</x:f>
        <x:v>30000</x:v>
      </x:c>
      <x:c r="D84" s="172"/>
      <x:c r="E84" s="172"/>
      <x:c r="F84" s="172"/>
      <x:c r="G84" s="172"/>
      <x:c r="H84" s="172"/>
    </x:row>
    <x:row r="85" ht="35" customHeight="1">
      <x:c r="B85" s="55" t="str">
        <x:v>Невозвратные избыточные лицензии</x:v>
      </x:c>
      <x:c r="C85" s="174" t="n">
        <x:f>MAX(0,C79-C80)*$C$35</x:f>
        <x:v>0</x:v>
      </x:c>
      <x:c r="D85" s="172"/>
      <x:c r="E85" s="172"/>
      <x:c r="F85" s="172"/>
      <x:c r="G85" s="172"/>
      <x:c r="H85" s="172"/>
    </x:row>
    <x:row r="86" ht="35" customHeight="1">
      <x:c r="B86" s="55" t="str">
        <x:v>ИТОГО стоимость ошибки</x:v>
      </x:c>
      <x:c r="C86" s="174" t="n">
        <x:f>SUM(C82:C85)</x:f>
        <x:v>63150</x:v>
      </x:c>
      <x:c r="D86" s="172"/>
      <x:c r="E86" s="172"/>
      <x:c r="F86" s="172"/>
      <x:c r="G86" s="172"/>
      <x:c r="H86" s="172"/>
    </x:row>
    <x:row r="87" ht="35" customHeight="1">
      <x:c r="B87" s="55" t="str">
        <x:v>Запуск IT: ФОТ + техника + разовые</x:v>
      </x:c>
      <x:c r="C87" s="174" t="n">
        <x:f>C81+C74*C73+'B-SOA'!E43+'B-SOA'!E44+'B-SOA'!E45+'B-SOA'!E46+'B-SOA'!E47</x:f>
        <x:v>209350</x:v>
      </x:c>
      <x:c r="D87" s="172"/>
      <x:c r="E87" s="172"/>
      <x:c r="F87" s="172"/>
      <x:c r="G87" s="172"/>
      <x:c r="H87" s="172"/>
    </x:row>
    <x:row r="88" ht="35" customHeight="1">
      <x:c r="B88" s="55"/>
      <x:c r="C88" s="55"/>
      <x:c r="D88" s="55"/>
      <x:c r="E88" s="55"/>
      <x:c r="F88" s="55"/>
      <x:c r="G88" s="55"/>
      <x:c r="H88" s="55"/>
    </x:row>
    <x:row r="89" ht="35" customHeight="1">
      <x:c r="B89" s="55"/>
      <x:c r="C89" s="55"/>
      <x:c r="D89" s="55"/>
      <x:c r="E89" s="55"/>
      <x:c r="F89" s="55"/>
      <x:c r="G89" s="55"/>
      <x:c r="H89" s="55"/>
    </x:row>
    <x:row r="90" ht="35" customHeight="1">
      <x:c r="B90" s="55"/>
      <x:c r="C90" s="55"/>
      <x:c r="D90" s="55"/>
      <x:c r="E90" s="55"/>
      <x:c r="F90" s="55"/>
      <x:c r="G90" s="55"/>
      <x:c r="H90" s="55"/>
    </x:row>
    <x:row r="91" ht="35" customHeight="1">
      <x:c r="B91" s="55"/>
      <x:c r="C91" s="55"/>
      <x:c r="D91" s="55"/>
      <x:c r="E91" s="55"/>
      <x:c r="F91" s="55"/>
      <x:c r="G91" s="55"/>
      <x:c r="H91" s="55"/>
    </x:row>
    <x:row r="92" ht="35" customHeight="1">
      <x:c r="B92" s="55"/>
      <x:c r="C92" s="55"/>
      <x:c r="D92" s="55"/>
      <x:c r="E92" s="55"/>
      <x:c r="F92" s="55"/>
      <x:c r="G92" s="55"/>
      <x:c r="H92" s="55"/>
    </x:row>
    <x:row r="93" ht="35" customHeight="1">
      <x:c r="B93" s="55"/>
      <x:c r="C93" s="55"/>
      <x:c r="D93" s="55"/>
      <x:c r="E93" s="55"/>
      <x:c r="F93" s="55"/>
      <x:c r="G93" s="55"/>
      <x:c r="H93" s="55"/>
    </x:row>
    <x:row r="94" ht="35" customHeight="1">
      <x:c r="B94" s="55"/>
      <x:c r="C94" s="55"/>
      <x:c r="D94" s="55"/>
      <x:c r="E94" s="55"/>
      <x:c r="F94" s="55"/>
      <x:c r="G94" s="55"/>
      <x:c r="H94" s="55"/>
    </x:row>
    <x:row r="95" ht="35" customHeight="1">
      <x:c r="B95" s="55"/>
      <x:c r="C95" s="55"/>
      <x:c r="D95" s="55"/>
      <x:c r="E95" s="55"/>
      <x:c r="F95" s="55"/>
      <x:c r="G95" s="55"/>
      <x:c r="H95" s="55"/>
    </x:row>
    <x:row r="96" ht="35" customHeight="1">
      <x:c r="B96" s="55"/>
      <x:c r="C96" s="55"/>
      <x:c r="D96" s="55"/>
      <x:c r="E96" s="55"/>
      <x:c r="F96" s="55"/>
      <x:c r="G96" s="55"/>
      <x:c r="H96" s="55"/>
    </x:row>
    <x:row r="97" ht="35" customHeight="1">
      <x:c r="B97" s="55"/>
      <x:c r="C97" s="55"/>
      <x:c r="D97" s="55"/>
      <x:c r="E97" s="55"/>
      <x:c r="F97" s="55"/>
      <x:c r="G97" s="55"/>
      <x:c r="H97" s="55"/>
    </x:row>
    <x:row r="98" ht="35" customHeight="1">
      <x:c r="B98" s="55"/>
      <x:c r="C98" s="55"/>
      <x:c r="D98" s="55"/>
      <x:c r="E98" s="55"/>
      <x:c r="F98" s="55"/>
      <x:c r="G98" s="55"/>
      <x:c r="H98" s="55"/>
    </x:row>
    <x:row r="99" ht="36" customHeight="1">
      <x:c r="B99" s="180" t="str">
        <x:v>C. 40 микросервисов CTO — запуск, стоимость ошибки и обратимость</x:v>
      </x:c>
      <x:c r="C99" s="180"/>
      <x:c r="D99" s="180"/>
      <x:c r="E99" s="180"/>
      <x:c r="F99" s="180"/>
      <x:c r="G99" s="180"/>
      <x:c r="H99" s="180"/>
    </x:row>
    <x:row r="100" ht="35" customHeight="1">
      <x:c r="B100" s="55" t="str">
        <x:v>FTE запуска</x:v>
      </x:c>
      <x:c r="C100" s="171" t="n">
        <x:v>18</x:v>
      </x:c>
      <x:c r="D100" s="172" t="str">
        <x:v>SA-08/09: ошибки оценены относительно достаточной системы для 50К. Излишек техники и персонала сохраняется 3 месяца. Труд ядра считается повторно используемым за исключением 15%/25%/50%; это спорное допущение, а не оценка качества кода. Лицензия Oracle остаточных 2 Processor нужна и не списывается как ошибка. Годовая предоплата C — отвергнутая альтернатива A6. Никакого коэффициента расходов ×200.</x:v>
      </x:c>
      <x:c r="E100" s="172"/>
      <x:c r="F100" s="172"/>
      <x:c r="G100" s="172"/>
      <x:c r="H100" s="172"/>
    </x:row>
    <x:row r="101" ht="35" customHeight="1">
      <x:c r="B101" s="55" t="str">
        <x:v>Длительность сборки / мес</x:v>
      </x:c>
      <x:c r="C101" s="171" t="n">
        <x:v>6</x:v>
      </x:c>
      <x:c r="D101" s="172"/>
      <x:c r="E101" s="172"/>
      <x:c r="F101" s="172"/>
      <x:c r="G101" s="172"/>
      <x:c r="H101" s="172"/>
    </x:row>
    <x:row r="102" ht="35" customHeight="1">
      <x:c r="B102" s="55" t="str">
        <x:v>Техника постоянная / мес, первые 6</x:v>
      </x:c>
      <x:c r="C102" s="173" t="n">
        <x:v>18883.333333333332</x:v>
      </x:c>
      <x:c r="D102" s="172"/>
      <x:c r="E102" s="172"/>
      <x:c r="F102" s="172"/>
      <x:c r="G102" s="172"/>
      <x:c r="H102" s="172"/>
    </x:row>
    <x:row r="103" ht="35" customHeight="1">
      <x:c r="B103" s="55" t="str">
        <x:v>Техника постоянная / мес, месяц 12</x:v>
      </x:c>
      <x:c r="C103" s="173" t="n">
        <x:v>18883.333333333332</x:v>
      </x:c>
      <x:c r="D103" s="172"/>
      <x:c r="E103" s="172"/>
      <x:c r="F103" s="172"/>
      <x:c r="G103" s="172"/>
      <x:c r="H103" s="172"/>
    </x:row>
    <x:row r="104" ht="35" customHeight="1">
      <x:c r="B104" s="55" t="str">
        <x:v>Невозвратная доля труда сборки</x:v>
      </x:c>
      <x:c r="C104" s="169" t="n">
        <x:v>0.5</x:v>
      </x:c>
      <x:c r="D104" s="172"/>
      <x:c r="E104" s="172"/>
      <x:c r="F104" s="172"/>
      <x:c r="G104" s="172"/>
      <x:c r="H104" s="172"/>
    </x:row>
    <x:row r="105" ht="35" customHeight="1">
      <x:c r="B105" s="55" t="str">
        <x:v>FTE при спросе 50К</x:v>
      </x:c>
      <x:c r="C105" s="171" t="n">
        <x:v>8</x:v>
      </x:c>
      <x:c r="D105" s="172"/>
      <x:c r="E105" s="172"/>
      <x:c r="F105" s="172"/>
      <x:c r="G105" s="172"/>
      <x:c r="H105" s="172"/>
    </x:row>
    <x:row r="106" ht="35" customHeight="1">
      <x:c r="B106" s="55" t="str">
        <x:v>Техника при 50К / мес без Oracle support</x:v>
      </x:c>
      <x:c r="C106" s="173" t="n">
        <x:v>6000</x:v>
      </x:c>
      <x:c r="D106" s="172"/>
      <x:c r="E106" s="172"/>
      <x:c r="F106" s="172"/>
      <x:c r="G106" s="172"/>
      <x:c r="H106" s="172"/>
    </x:row>
    <x:row r="107" ht="35" customHeight="1">
      <x:c r="B107" s="55" t="str">
        <x:v>Processor Oracle на старте</x:v>
      </x:c>
      <x:c r="C107" s="171" t="n">
        <x:v>4</x:v>
      </x:c>
      <x:c r="D107" s="172"/>
      <x:c r="E107" s="172"/>
      <x:c r="F107" s="172"/>
      <x:c r="G107" s="172"/>
      <x:c r="H107" s="172"/>
    </x:row>
    <x:row r="108" ht="35" customHeight="1">
      <x:c r="B108" s="55" t="str">
        <x:v>Processor Oracle достаточно при 50К</x:v>
      </x:c>
      <x:c r="C108" s="171" t="n">
        <x:v>2</x:v>
      </x:c>
      <x:c r="D108" s="172"/>
      <x:c r="E108" s="172"/>
      <x:c r="F108" s="172"/>
      <x:c r="G108" s="172"/>
      <x:c r="H108" s="172"/>
    </x:row>
    <x:row r="109" ht="35" customHeight="1">
      <x:c r="B109" s="55" t="str">
        <x:v>Стоимость труда сборки</x:v>
      </x:c>
      <x:c r="C109" s="174" t="n">
        <x:f>C100*C101*$C$25</x:f>
        <x:v>540000</x:v>
      </x:c>
      <x:c r="D109" s="172"/>
      <x:c r="E109" s="172"/>
      <x:c r="F109" s="172"/>
      <x:c r="G109" s="172"/>
      <x:c r="H109" s="172"/>
    </x:row>
    <x:row r="110" ht="35" customHeight="1">
      <x:c r="B110" s="55" t="str">
        <x:v>Невозвратная архитектурная сложность</x:v>
      </x:c>
      <x:c r="C110" s="174" t="n">
        <x:f>C109*C104</x:f>
        <x:v>270000</x:v>
      </x:c>
      <x:c r="D110" s="172"/>
      <x:c r="E110" s="172"/>
      <x:c r="F110" s="172"/>
      <x:c r="G110" s="172"/>
      <x:c r="H110" s="172"/>
    </x:row>
    <x:row r="111" ht="35" customHeight="1">
      <x:c r="B111" s="55" t="str">
        <x:v>Излишек техники за 3 месяца</x:v>
      </x:c>
      <x:c r="C111" s="174" t="n">
        <x:f>MAX(0,C102-C106-C108*$C$36/12)*$C$37</x:f>
        <x:v>33425</x:v>
      </x:c>
      <x:c r="D111" s="172"/>
      <x:c r="E111" s="172"/>
      <x:c r="F111" s="172"/>
      <x:c r="G111" s="172"/>
      <x:c r="H111" s="172"/>
    </x:row>
    <x:row r="112" ht="35" customHeight="1">
      <x:c r="B112" s="55" t="str">
        <x:v>Излишек ФОТ за 3 месяца</x:v>
      </x:c>
      <x:c r="C112" s="174" t="n">
        <x:f>MAX(0,C100-C105)*$C$25*$C$37</x:f>
        <x:v>150000</x:v>
      </x:c>
      <x:c r="D112" s="172"/>
      <x:c r="E112" s="172"/>
      <x:c r="F112" s="172"/>
      <x:c r="G112" s="172"/>
      <x:c r="H112" s="172"/>
    </x:row>
    <x:row r="113" ht="35" customHeight="1">
      <x:c r="B113" s="55" t="str">
        <x:v>Невозвратные избыточные лицензии</x:v>
      </x:c>
      <x:c r="C113" s="174" t="n">
        <x:f>MAX(0,C107-C108)*$C$35</x:f>
        <x:v>95000</x:v>
      </x:c>
      <x:c r="D113" s="172"/>
      <x:c r="E113" s="172"/>
      <x:c r="F113" s="172"/>
      <x:c r="G113" s="172"/>
      <x:c r="H113" s="172"/>
    </x:row>
    <x:row r="114" ht="35" customHeight="1">
      <x:c r="B114" s="55" t="str">
        <x:v>ИТОГО стоимость ошибки</x:v>
      </x:c>
      <x:c r="C114" s="174" t="n">
        <x:f>SUM(C110:C113)</x:f>
        <x:v>548425</x:v>
      </x:c>
      <x:c r="D114" s="172"/>
      <x:c r="E114" s="172"/>
      <x:c r="F114" s="172"/>
      <x:c r="G114" s="172"/>
      <x:c r="H114" s="172"/>
    </x:row>
    <x:row r="115" ht="35" customHeight="1">
      <x:c r="B115" s="55" t="str">
        <x:v>Запуск IT: ФОТ + техника + разовые</x:v>
      </x:c>
      <x:c r="C115" s="174" t="n">
        <x:f>C109+C102*C101+'C-CTO'!E43+'C-CTO'!E44+'C-CTO'!E45+'C-CTO'!E46+'C-CTO'!E47</x:f>
        <x:v>978300</x:v>
      </x:c>
      <x:c r="D115" s="172"/>
      <x:c r="E115" s="172"/>
      <x:c r="F115" s="172"/>
      <x:c r="G115" s="172"/>
      <x:c r="H115" s="172"/>
    </x:row>
    <x:row r="116" ht="35" customHeight="1">
      <x:c r="B116" s="55"/>
      <x:c r="C116" s="55"/>
      <x:c r="D116" s="55"/>
      <x:c r="E116" s="55"/>
      <x:c r="F116" s="55"/>
      <x:c r="G116" s="55"/>
      <x:c r="H116" s="55"/>
    </x:row>
    <x:row r="117" ht="35" customHeight="1">
      <x:c r="B117" s="55"/>
      <x:c r="C117" s="55"/>
      <x:c r="D117" s="55"/>
      <x:c r="E117" s="55"/>
      <x:c r="F117" s="55"/>
      <x:c r="G117" s="55"/>
      <x:c r="H117" s="55"/>
    </x:row>
    <x:row r="118" ht="35" customHeight="1">
      <x:c r="B118" s="55"/>
      <x:c r="C118" s="55"/>
      <x:c r="D118" s="55"/>
      <x:c r="E118" s="55"/>
      <x:c r="F118" s="55"/>
      <x:c r="G118" s="55"/>
      <x:c r="H118" s="55"/>
    </x:row>
    <x:row r="119" ht="35" customHeight="1">
      <x:c r="B119" s="55"/>
      <x:c r="C119" s="55"/>
      <x:c r="D119" s="55"/>
      <x:c r="E119" s="55"/>
      <x:c r="F119" s="55"/>
      <x:c r="G119" s="55"/>
      <x:c r="H119" s="55"/>
    </x:row>
    <x:row r="120" ht="35" customHeight="1">
      <x:c r="B120" s="55"/>
      <x:c r="C120" s="55"/>
      <x:c r="D120" s="55"/>
      <x:c r="E120" s="55"/>
      <x:c r="F120" s="55"/>
      <x:c r="G120" s="55"/>
      <x:c r="H120" s="55"/>
    </x:row>
    <x:row r="121" ht="35" customHeight="1">
      <x:c r="B121" s="55"/>
      <x:c r="C121" s="55"/>
      <x:c r="D121" s="55"/>
      <x:c r="E121" s="55"/>
      <x:c r="F121" s="55"/>
      <x:c r="G121" s="55"/>
      <x:c r="H121" s="55"/>
    </x:row>
    <x:row r="122" ht="35" customHeight="1">
      <x:c r="B122" s="55"/>
      <x:c r="C122" s="55"/>
      <x:c r="D122" s="55"/>
      <x:c r="E122" s="55"/>
      <x:c r="F122" s="55"/>
      <x:c r="G122" s="55"/>
      <x:c r="H122" s="55"/>
    </x:row>
    <x:row r="123" ht="35" customHeight="1">
      <x:c r="B123" s="55"/>
      <x:c r="C123" s="55"/>
      <x:c r="D123" s="55"/>
      <x:c r="E123" s="55"/>
      <x:c r="F123" s="55"/>
      <x:c r="G123" s="55"/>
      <x:c r="H123" s="55"/>
    </x:row>
    <x:row r="124" ht="35" customHeight="1">
      <x:c r="B124" s="55"/>
      <x:c r="C124" s="55"/>
      <x:c r="D124" s="55"/>
      <x:c r="E124" s="55"/>
      <x:c r="F124" s="55"/>
      <x:c r="G124" s="55"/>
      <x:c r="H124" s="55"/>
    </x:row>
    <x:row r="125" ht="35" customHeight="1">
      <x:c r="B125" s="55"/>
      <x:c r="C125" s="55"/>
      <x:c r="D125" s="55"/>
      <x:c r="E125" s="55"/>
      <x:c r="F125" s="55"/>
      <x:c r="G125" s="55"/>
      <x:c r="H125" s="55"/>
    </x:row>
    <x:row r="126" ht="35" customHeight="1">
      <x:c r="B126" s="55"/>
      <x:c r="C126" s="55"/>
      <x:c r="D126" s="55"/>
      <x:c r="E126" s="55"/>
      <x:c r="F126" s="55"/>
      <x:c r="G126" s="55"/>
      <x:c r="H126" s="55"/>
    </x:row>
    <x:row r="127" ht="35" customHeight="1">
      <x:c r="B127" s="55"/>
      <x:c r="C127" s="55"/>
      <x:c r="D127" s="55"/>
      <x:c r="E127" s="55"/>
      <x:c r="F127" s="55"/>
      <x:c r="G127" s="55"/>
      <x:c r="H127" s="55"/>
    </x:row>
    <x:row r="128" ht="36" customHeight="1">
      <x:c r="B128" s="180" t="str">
        <x:v>Чувствительность (только гипотезы меняются; прогноз заказов общий)</x:v>
      </x:c>
      <x:c r="C128" s="180"/>
      <x:c r="D128" s="180"/>
      <x:c r="E128" s="180"/>
      <x:c r="F128" s="180"/>
      <x:c r="G128" s="180"/>
      <x:c r="H128" s="180"/>
    </x:row>
    <x:row r="129" ht="36" customHeight="1">
      <x:c r="B129" s="180" t="str">
        <x:v>TCO без PSP: изменение ставки FTE</x:v>
      </x:c>
      <x:c r="C129" s="180" t="str">
        <x:v>A</x:v>
      </x:c>
      <x:c r="D129" s="180" t="str">
        <x:v>B</x:v>
      </x:c>
      <x:c r="E129" s="180" t="str">
        <x:v>C</x:v>
      </x:c>
      <x:c r="F129" s="180"/>
      <x:c r="G129" s="180"/>
      <x:c r="H129" s="180"/>
    </x:row>
    <x:row r="130" ht="35" customHeight="1">
      <x:c r="B130" s="55" t="str">
        <x:v>Ставка FTE −25%</x:v>
      </x:c>
      <x:c r="C130" s="174" t="n">
        <x:f>C7-'TCO'!J40*.25*(1+'Допущения'!C17)</x:f>
        <x:v>12360974.158500003</x:v>
      </x:c>
      <x:c r="D130" s="174" t="n">
        <x:f>D7-'B-SOA'!J40*.25*(1+'Допущения'!C17)</x:f>
        <x:v>13582363.475999996</x:v>
      </x:c>
      <x:c r="E130" s="174" t="n">
        <x:f>E7-'C-CTO'!J40*.25*(1+'Допущения'!C17)</x:f>
        <x:v>17343380.0485</x:v>
      </x:c>
      <x:c r="F130" s="55"/>
      <x:c r="G130" s="55"/>
      <x:c r="H130" s="55"/>
    </x:row>
    <x:row r="131" ht="35" customHeight="1">
      <x:c r="B131" s="55" t="str">
        <x:v>Ставка FTE +25%</x:v>
      </x:c>
      <x:c r="C131" s="174" t="n">
        <x:f>C7+'TCO'!J40*.25*(1+'Допущения'!C17)</x:f>
        <x:v>14151507.958500003</x:v>
      </x:c>
      <x:c r="D131" s="174" t="n">
        <x:f>D7+'B-SOA'!J40*.25*(1+'Допущения'!C17)</x:f>
        <x:v>15969741.875999995</x:v>
      </x:c>
      <x:c r="E131" s="174" t="n">
        <x:f>E7+'C-CTO'!J40*.25*(1+'Допущения'!C17)</x:f>
        <x:v>22714981.4485</x:v>
      </x:c>
      <x:c r="F131" s="55"/>
      <x:c r="G131" s="55"/>
      <x:c r="H131" s="55"/>
    </x:row>
    <x:row r="132" ht="35" customHeight="1">
      <x:c r="B132" s="55"/>
      <x:c r="C132" s="55"/>
      <x:c r="D132" s="55"/>
      <x:c r="E132" s="55"/>
      <x:c r="F132" s="55"/>
      <x:c r="G132" s="55"/>
      <x:c r="H132" s="55"/>
    </x:row>
    <x:row r="133" ht="35" customHeight="1">
      <x:c r="B133" s="55" t="str">
        <x:v>PSP 3,0%: доп. TCO всех вариантов</x:v>
      </x:c>
      <x:c r="C133" s="174" t="n">
        <x:f>SUM('Допущения'!C10:G10)*(.03-$C$29)*(1+'Допущения'!C17)</x:f>
        <x:v>9086000</x:v>
      </x:c>
      <x:c r="D133" s="55"/>
      <x:c r="E133" s="55"/>
      <x:c r="F133" s="55"/>
      <x:c r="G133" s="55"/>
      <x:c r="H133" s="55"/>
    </x:row>
    <x:row r="134" ht="35" customHeight="1">
      <x:c r="B134" s="55" t="str">
        <x:v>Цена минуты: условная экспозиция / год</x:v>
      </x:c>
      <x:c r="C134" s="174" t="n">
        <x:f>(1-'Допущения'!C20)*525600*'Допущения'!C19</x:f>
        <x:v>630719.9999999305</x:v>
      </x:c>
      <x:c r="D134" s="55"/>
      <x:c r="E134" s="55"/>
      <x:c r="F134" s="55"/>
      <x:c r="G134" s="55"/>
      <x:c r="H134" s="55"/>
    </x:row>
    <x:row r="135" ht="35" customHeight="1">
      <x:c r="B135" s="55"/>
      <x:c r="C135" s="55"/>
      <x:c r="D135" s="55"/>
      <x:c r="E135" s="55"/>
      <x:c r="F135" s="55"/>
      <x:c r="G135" s="55"/>
      <x:c r="H135" s="55"/>
    </x:row>
    <x:row r="136" ht="36" customHeight="1">
      <x:c r="B136" s="180" t="str">
        <x:v>Источники цен проверены 05.10.2026. Публичные тарифы не заменяют локальную оферту / лицензионный расчёт.</x:v>
      </x:c>
      <x:c r="C136" s="180"/>
      <x:c r="D136" s="180"/>
      <x:c r="E136" s="180"/>
      <x:c r="F136" s="180"/>
      <x:c r="G136" s="180"/>
      <x:c r="H136" s="180"/>
    </x:row>
    <x:row r="137" ht="35" customHeight="1">
      <x:c r="B137" s="55" t="str">
        <x:v>https://www.oracle.com/europe/a/ocom/docs/corporate/pricing/technology-price-list-070617.pdf</x:v>
      </x:c>
      <x:c r="C137" s="55"/>
      <x:c r="D137" s="55"/>
      <x:c r="E137" s="55"/>
      <x:c r="F137" s="55"/>
      <x:c r="G137" s="55"/>
      <x:c r="H137" s="55"/>
    </x:row>
    <x:row r="138" ht="35" customHeight="1">
      <x:c r="B138" s="55" t="str">
        <x:v>https://flutterwave.com/ng/pricing</x:v>
      </x:c>
      <x:c r="C138" s="55"/>
      <x:c r="D138" s="55"/>
      <x:c r="E138" s="55"/>
      <x:c r="F138" s="55"/>
      <x:c r="G138" s="55"/>
      <x:c r="H138" s="55"/>
    </x:row>
    <x:row r="139" ht="35" customHeight="1">
      <x:c r="B139" s="55" t="str">
        <x:v>https://flutterwave.com/ke/pricing</x:v>
      </x:c>
      <x:c r="C139" s="55"/>
      <x:c r="D139" s="55"/>
      <x:c r="E139" s="55"/>
      <x:c r="F139" s="55"/>
      <x:c r="G139" s="55"/>
      <x:c r="H139" s="55"/>
    </x:row>
    <x:row r="140" ht="35" customHeight="1">
      <x:c r="B140" s="55" t="str">
        <x:v>https://paystack.com/pricing</x:v>
      </x:c>
      <x:c r="C140" s="55"/>
      <x:c r="D140" s="55"/>
      <x:c r="E140" s="55"/>
      <x:c r="F140" s="55"/>
      <x:c r="G140" s="55"/>
      <x:c r="H140" s="55"/>
    </x:row>
    <x:row r="141" ht="35" customHeight="1">
      <x:c r="B141" s="55" t="str">
        <x:v>https://aws.amazon.com/lightsail/pricing/</x:v>
      </x:c>
      <x:c r="C141" s="55"/>
      <x:c r="D141" s="55"/>
      <x:c r="E141" s="55"/>
      <x:c r="F141" s="55"/>
      <x:c r="G141" s="55"/>
      <x:c r="H141" s="55"/>
    </x:row>
    <x:row r="142" ht="35" customHeight="1">
      <x:c r="B142" s="55"/>
      <x:c r="C142" s="55"/>
      <x:c r="D142" s="55"/>
      <x:c r="E142" s="55"/>
      <x:c r="F142" s="55"/>
      <x:c r="G142" s="55"/>
      <x:c r="H142" s="55"/>
    </x:row>
    <x:row r="143" ht="35" customHeight="1">
      <x:c r="B143" s="55" t="str">
        <x:v>Исключено: товар/физическая доставка/ПВЗ/маркетинг $180К/налоги на прибыль и оборотный капитал выплат. IT-тарифы/FTE all-in оценочные. Same-day payout требует отдельного лимита ликвидности CFO.</x:v>
      </x:c>
      <x:c r="C143" s="55"/>
      <x:c r="D143" s="55"/>
      <x:c r="E143" s="55"/>
      <x:c r="F143" s="55"/>
      <x:c r="G143" s="55"/>
      <x:c r="H143" s="55"/>
    </x:row>
    <x:row r="144" ht="35" customHeight="1">
      <x:c r="B144" s="55"/>
      <x:c r="C144" s="55"/>
      <x:c r="D144" s="55"/>
      <x:c r="E144" s="55"/>
      <x:c r="F144" s="55"/>
      <x:c r="G144" s="55"/>
      <x:c r="H144" s="55"/>
    </x:row>
    <x:row r="145" ht="35" customHeight="1">
      <x:c r="B145" s="55" t="str">
        <x:v>Календарь: сегодня 05.10.2026, встреча 12.10, запуск 15.10. Оценки 8/12/24 недели — от готовой команды и договоров. При старте с нуля сейчас ни один полный MVP не успеет; готовность неизвестна.</x:v>
      </x:c>
      <x:c r="C145" s="55"/>
      <x:c r="D145" s="55"/>
      <x:c r="E145" s="55"/>
      <x:c r="F145" s="55"/>
      <x:c r="G145" s="55"/>
      <x:c r="H145" s="55"/>
    </x:row>
  </x:sheetData>
  <x:mergeCells>
    <x:mergeCell ref="B2:H2"/>
    <x:mergeCell ref="B3:H3"/>
    <x:mergeCell ref="B24:H24"/>
    <x:mergeCell ref="D25:H25"/>
    <x:mergeCell ref="D26:H26"/>
    <x:mergeCell ref="D27:H27"/>
    <x:mergeCell ref="D28:H28"/>
    <x:mergeCell ref="D29:H29"/>
    <x:mergeCell ref="D30:H30"/>
    <x:mergeCell ref="D31:H31"/>
    <x:mergeCell ref="D32:H32"/>
    <x:mergeCell ref="D33:H33"/>
    <x:mergeCell ref="D34:H34"/>
    <x:mergeCell ref="D35:H35"/>
    <x:mergeCell ref="D36:H36"/>
    <x:mergeCell ref="D37:H37"/>
    <x:mergeCell ref="D38:H38"/>
    <x:mergeCell ref="D39:H39"/>
    <x:mergeCell ref="B43:H43"/>
    <x:mergeCell ref="D44:H59"/>
    <x:mergeCell ref="B71:H71"/>
    <x:mergeCell ref="D72:H87"/>
    <x:mergeCell ref="B99:H99"/>
    <x:mergeCell ref="D100:H115"/>
    <x:mergeCell ref="B128:H128"/>
    <x:mergeCell ref="B136:H136"/>
    <x:mergeCell ref="B137:H137"/>
    <x:mergeCell ref="B138:H138"/>
    <x:mergeCell ref="B139:H139"/>
    <x:mergeCell ref="B140:H140"/>
    <x:mergeCell ref="B141:H141"/>
    <x:mergeCell ref="B143:H143"/>
    <x:mergeCell ref="B145:H145"/>
  </x:mergeCells>
  <x:pageMargins left="0.7" right="0.7" top="0.75" bottom="0.75" header="0.3" footer="0.3"/>
</x:worksheet>
</file>